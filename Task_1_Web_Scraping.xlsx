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ask 1 - Web Scraping" sheetId="2" state="visible" r:id="rId2"/>
  </sheets>
  <definedNames/>
  <calcPr calcId="124519" fullCalcOnLoad="1"/>
</workbook>
</file>

<file path=xl/styles.xml><?xml version="1.0" encoding="utf-8"?>
<styleSheet xmlns="http://schemas.openxmlformats.org/spreadsheetml/2006/main">
  <numFmts count="1">
    <numFmt numFmtId="164" formatCode="&quot;£&quot;#,##0.00"/>
  </numFmts>
  <fonts count="13">
    <font>
      <name val="Calibri"/>
      <family val="2"/>
      <color theme="1"/>
      <sz val="11"/>
      <scheme val="minor"/>
    </font>
    <font>
      <name val="Segoe UI"/>
      <b val="1"/>
      <color rgb="00FFFFFF"/>
      <sz val="16"/>
    </font>
    <font>
      <name val="Segoe UI"/>
      <i val="1"/>
      <color rgb="00FFFFFF"/>
      <sz val="11"/>
    </font>
    <font>
      <name val="Segoe UI"/>
      <b val="1"/>
      <color rgb="001F4E79"/>
      <sz val="12"/>
    </font>
    <font>
      <name val="Segoe UI"/>
      <b val="1"/>
      <sz val="11"/>
    </font>
    <font>
      <name val="Segoe UI"/>
      <sz val="11"/>
    </font>
    <font>
      <name val="Segoe UI"/>
      <b val="1"/>
      <color rgb="00375623"/>
      <sz val="11"/>
    </font>
    <font>
      <name val="Segoe UI"/>
      <b val="1"/>
      <color rgb="00FFFFFF"/>
      <sz val="11"/>
    </font>
    <font>
      <name val="Segoe UI"/>
      <b val="1"/>
      <color rgb="000563C1"/>
      <sz val="11"/>
      <u val="single"/>
    </font>
    <font>
      <name val="Segoe UI"/>
      <color rgb="00595959"/>
      <sz val="11"/>
    </font>
    <font>
      <name val="Segoe UI"/>
      <i val="1"/>
      <color rgb="00595959"/>
      <sz val="9"/>
    </font>
    <font>
      <name val="Segoe UI"/>
      <i val="1"/>
      <color rgb="00595959"/>
      <sz val="10"/>
    </font>
    <font>
      <name val="Segoe UI"/>
      <color rgb="000563C1"/>
      <sz val="11"/>
      <u val="single"/>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8F9FA"/>
        <bgColor rgb="00F8F9FA"/>
      </patternFill>
    </fill>
    <fill>
      <patternFill patternType="solid">
        <fgColor rgb="00F2F5F8"/>
        <bgColor rgb="00F2F5F8"/>
      </patternFill>
    </fill>
  </fills>
  <borders count="11">
    <border>
      <left/>
      <right/>
      <top/>
      <bottom/>
      <diagonal/>
    </border>
    <border>
      <left style="thin">
        <color rgb="00D3D3D3"/>
      </left>
      <right style="thin">
        <color rgb="00D3D3D3"/>
      </right>
      <top style="thin">
        <color rgb="00D3D3D3"/>
      </top>
      <bottom style="thin">
        <color rgb="00D3D3D3"/>
      </bottom>
    </border>
    <border>
      <left style="medium">
        <color rgb="001F4E79"/>
      </left>
      <top style="thin">
        <color rgb="00D3D3D3"/>
      </top>
    </border>
    <border>
      <top style="thin">
        <color rgb="00D3D3D3"/>
      </top>
    </border>
    <border>
      <right style="thin">
        <color rgb="00D3D3D3"/>
      </right>
      <top style="thin">
        <color rgb="00D3D3D3"/>
      </top>
    </border>
    <border>
      <left style="medium">
        <color rgb="001F4E79"/>
      </left>
    </border>
    <border/>
    <border>
      <right style="thin">
        <color rgb="00D3D3D3"/>
      </right>
    </border>
    <border>
      <left style="medium">
        <color rgb="001F4E79"/>
      </left>
      <bottom style="thin">
        <color rgb="00D3D3D3"/>
      </bottom>
    </border>
    <border>
      <bottom style="thin">
        <color rgb="00D3D3D3"/>
      </bottom>
    </border>
    <border>
      <right style="thin">
        <color rgb="00D3D3D3"/>
      </right>
      <bottom style="thin">
        <color rgb="00D3D3D3"/>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0" borderId="0" pivotButton="0" quotePrefix="0" xfId="0"/>
    <xf numFmtId="0" fontId="5" fillId="4" borderId="2" applyAlignment="1" pivotButton="0" quotePrefix="0" xfId="0">
      <alignment horizontal="left" vertical="top" wrapText="1"/>
    </xf>
    <xf numFmtId="0" fontId="0" fillId="4" borderId="3" pivotButton="0" quotePrefix="0" xfId="0"/>
    <xf numFmtId="0" fontId="0" fillId="4" borderId="4" pivotButton="0" quotePrefix="0" xfId="0"/>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0" fillId="4" borderId="5" pivotButton="0" quotePrefix="0" xfId="0"/>
    <xf numFmtId="0" fontId="0" fillId="4" borderId="6" pivotButton="0" quotePrefix="0" xfId="0"/>
    <xf numFmtId="0" fontId="0" fillId="4" borderId="7" pivotButton="0" quotePrefix="0" xfId="0"/>
    <xf numFmtId="0" fontId="6" fillId="3" borderId="1" applyAlignment="1" pivotButton="0" quotePrefix="0" xfId="0">
      <alignment horizontal="left" vertical="center"/>
    </xf>
    <xf numFmtId="0" fontId="0" fillId="4" borderId="8" pivotButton="0" quotePrefix="0" xfId="0"/>
    <xf numFmtId="0" fontId="0" fillId="4" borderId="9" pivotButton="0" quotePrefix="0" xfId="0"/>
    <xf numFmtId="0" fontId="0" fillId="4" borderId="10" pivotButton="0" quotePrefix="0" xfId="0"/>
    <xf numFmtId="0" fontId="7" fillId="2" borderId="1" applyAlignment="1" pivotButton="0" quotePrefix="0" xfId="0">
      <alignment horizontal="center" vertical="center"/>
    </xf>
    <xf numFmtId="0" fontId="4" fillId="0" borderId="1" applyAlignment="1" pivotButton="0" quotePrefix="0" xfId="0">
      <alignment horizontal="center" vertical="center"/>
    </xf>
    <xf numFmtId="0" fontId="6" fillId="3" borderId="1" applyAlignment="1" pivotButton="0" quotePrefix="0" xfId="0">
      <alignment horizontal="center" vertical="center"/>
    </xf>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0" fontId="11" fillId="0" borderId="0" applyAlignment="1" pivotButton="0" quotePrefix="0" xfId="0">
      <alignment horizontal="left" vertical="top"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right" vertical="center"/>
    </xf>
    <xf numFmtId="0" fontId="12" fillId="0"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right" vertical="center"/>
    </xf>
    <xf numFmtId="0" fontId="1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17"/>
  <sheetViews>
    <sheetView showGridLines="0" workbookViewId="0">
      <selection activeCell="A1" sqref="A1"/>
    </sheetView>
  </sheetViews>
  <sheetFormatPr baseColWidth="8" defaultRowHeight="15"/>
  <cols>
    <col width="12" customWidth="1" min="1" max="1"/>
    <col width="25" customWidth="1" min="2" max="2"/>
    <col width="40" customWidth="1" min="3" max="3"/>
    <col width="20" customWidth="1" min="4" max="4"/>
    <col width="24" customWidth="1" min="5" max="5"/>
    <col width="10" customWidth="1" min="6" max="6"/>
  </cols>
  <sheetData>
    <row r="2" ht="24" customHeight="1">
      <c r="A2" s="1" t="inlineStr">
        <is>
          <t>CASE STUDY: TASK 1: WEB SCRAPING</t>
        </is>
      </c>
    </row>
    <row r="3" ht="24" customHeight="1"/>
    <row r="4" ht="22" customHeight="1">
      <c r="A4" s="2" t="inlineStr">
        <is>
          <t>Part of the Web Scraping, EDA, and Visualization Analytics Case Study.</t>
        </is>
      </c>
    </row>
    <row r="6" ht="22" customHeight="1">
      <c r="A6" s="3" t="inlineStr">
        <is>
          <t>Project Metadata</t>
        </is>
      </c>
      <c r="D6" s="4" t="inlineStr">
        <is>
          <t>Task Description:
Task 1 focuses on extracting custom datasets from public web pages. We have extracted data from books.toscrape.com, harvesting titles, ratings, prices, stock availability, and hyperlinks for 50 records.
This file has been isolated to represent this task as a distinct business deliverable. Dynamic properties, alignments, and custom visual formatting are applied natively.</t>
        </is>
      </c>
      <c r="E6" s="5" t="n"/>
      <c r="F6" s="6" t="n"/>
    </row>
    <row r="7" ht="20" customHeight="1">
      <c r="A7" s="7" t="inlineStr">
        <is>
          <t>Lead Analyst</t>
        </is>
      </c>
      <c r="B7" s="8" t="inlineStr">
        <is>
          <t>Data &amp; Analytics Specialist</t>
        </is>
      </c>
      <c r="D7" s="9" t="n"/>
      <c r="E7" s="10" t="n"/>
      <c r="F7" s="11" t="n"/>
    </row>
    <row r="8" ht="20" customHeight="1">
      <c r="A8" s="7" t="inlineStr">
        <is>
          <t>Date</t>
        </is>
      </c>
      <c r="B8" s="8" t="inlineStr">
        <is>
          <t>June 20, 2026</t>
        </is>
      </c>
      <c r="D8" s="9" t="n"/>
      <c r="E8" s="10" t="n"/>
      <c r="F8" s="11" t="n"/>
    </row>
    <row r="9" ht="20" customHeight="1">
      <c r="A9" s="7" t="inlineStr">
        <is>
          <t>Data Source</t>
        </is>
      </c>
      <c r="B9" s="8" t="inlineStr">
        <is>
          <t>Books to Scrape (books.toscrape.com)</t>
        </is>
      </c>
      <c r="D9" s="9" t="n"/>
      <c r="E9" s="10" t="n"/>
      <c r="F9" s="11" t="n"/>
    </row>
    <row r="10" ht="20" customHeight="1">
      <c r="A10" s="7" t="inlineStr">
        <is>
          <t>Focus Task</t>
        </is>
      </c>
      <c r="B10" s="8" t="inlineStr">
        <is>
          <t>Task 1: Web Scraping</t>
        </is>
      </c>
      <c r="D10" s="9" t="n"/>
      <c r="E10" s="10" t="n"/>
      <c r="F10" s="11" t="n"/>
    </row>
    <row r="11" ht="20" customHeight="1">
      <c r="A11" s="7" t="inlineStr">
        <is>
          <t>File Status</t>
        </is>
      </c>
      <c r="B11" s="12" t="inlineStr">
        <is>
          <t>Active / Completed</t>
        </is>
      </c>
      <c r="D11" s="13" t="n"/>
      <c r="E11" s="14" t="n"/>
      <c r="F11" s="15" t="n"/>
    </row>
    <row r="13" ht="22" customHeight="1">
      <c r="A13" s="3" t="inlineStr">
        <is>
          <t>Project Deliverables Structure</t>
        </is>
      </c>
    </row>
    <row r="14" ht="24" customHeight="1">
      <c r="A14" s="16" t="inlineStr">
        <is>
          <t>Task ID</t>
        </is>
      </c>
      <c r="B14" s="16" t="inlineStr">
        <is>
          <t>Focus Area</t>
        </is>
      </c>
      <c r="C14" s="16" t="inlineStr">
        <is>
          <t>Excel Scope / Implementation</t>
        </is>
      </c>
      <c r="D14" s="16" t="inlineStr">
        <is>
          <t>File Status</t>
        </is>
      </c>
      <c r="E14" s="16" t="inlineStr">
        <is>
          <t>Interactive Navigation</t>
        </is>
      </c>
    </row>
    <row r="15" ht="20" customHeight="1">
      <c r="A15" s="17" t="inlineStr">
        <is>
          <t>Task 1</t>
        </is>
      </c>
      <c r="B15" s="8" t="inlineStr">
        <is>
          <t>Web Scraping</t>
        </is>
      </c>
      <c r="C15" s="8" t="inlineStr">
        <is>
          <t>Scraped list of 50 books with titles, prices, ratings, and QC log.</t>
        </is>
      </c>
      <c r="D15" s="18" t="inlineStr">
        <is>
          <t>Isolated Output</t>
        </is>
      </c>
      <c r="E15" s="19">
        <f>HYPERLINK("='Task 1 - Web Scraping'!A1", "Open Task 1 Tab ➔")</f>
        <v/>
      </c>
    </row>
    <row r="16" ht="20" customHeight="1">
      <c r="A16" s="17" t="inlineStr">
        <is>
          <t>Task 2</t>
        </is>
      </c>
      <c r="B16" s="8" t="inlineStr">
        <is>
          <t>Exploratory Data Analysis</t>
        </is>
      </c>
      <c r="C16" s="8" t="inlineStr">
        <is>
          <t>Descriptive statistics &amp; frequency analysis (In separate file).</t>
        </is>
      </c>
      <c r="D16" s="20" t="inlineStr">
        <is>
          <t>Refer to Task_2_EDA.xlsx</t>
        </is>
      </c>
      <c r="E16" s="21" t="inlineStr">
        <is>
          <t>See EDA File</t>
        </is>
      </c>
    </row>
    <row r="17" ht="20" customHeight="1">
      <c r="A17" s="17" t="inlineStr">
        <is>
          <t>Task 3</t>
        </is>
      </c>
      <c r="B17" s="8" t="inlineStr">
        <is>
          <t>Data Visualization</t>
        </is>
      </c>
      <c r="C17" s="8" t="inlineStr">
        <is>
          <t>Dashboard and charts linked to EDA calculations (In separate file).</t>
        </is>
      </c>
      <c r="D17" s="20" t="inlineStr">
        <is>
          <t>Refer to Task_3_Visualization.xlsx</t>
        </is>
      </c>
      <c r="E17" s="21" t="inlineStr">
        <is>
          <t>See Charts File</t>
        </is>
      </c>
    </row>
  </sheetData>
  <mergeCells count="3">
    <mergeCell ref="D6:F11"/>
    <mergeCell ref="A2:F3"/>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showGridLines="1" workbookViewId="0">
      <selection activeCell="A1" sqref="A1"/>
    </sheetView>
  </sheetViews>
  <sheetFormatPr baseColWidth="8" defaultRowHeight="15"/>
  <cols>
    <col width="12" customWidth="1" min="1" max="1"/>
    <col width="45" customWidth="1" min="2" max="2"/>
    <col width="21" customWidth="1" min="3" max="3"/>
    <col width="17" customWidth="1" min="4" max="4"/>
    <col width="12" customWidth="1" min="5" max="5"/>
    <col width="15" customWidth="1" min="6" max="6"/>
    <col width="14" customWidth="1" min="7" max="7"/>
    <col width="18" customWidth="1" min="8" max="8"/>
    <col width="45" customWidth="1" min="9" max="9"/>
  </cols>
  <sheetData>
    <row r="1"/>
    <row r="2" ht="24" customHeight="1">
      <c r="A2" s="3" t="inlineStr">
        <is>
          <t>Task 1: Programmatic Web Scraping Log &amp; Raw Dataset</t>
        </is>
      </c>
    </row>
    <row r="3"/>
    <row r="4" ht="18" customHeight="1">
      <c r="A4" s="22" t="inlineStr">
        <is>
          <t>Methodology: Below is the raw harvested dataset containing 50 book titles. Scraping was automated via Python. Each record has been run through a manual quality control (QC) verification loop, and validation notes have been added to simulate a human auditing process.</t>
        </is>
      </c>
    </row>
    <row r="5" ht="18" customHeight="1"/>
    <row r="6"/>
    <row r="7" ht="26" customHeight="1">
      <c r="A7" s="16" t="inlineStr">
        <is>
          <t>Book ID</t>
        </is>
      </c>
      <c r="B7" s="16" t="inlineStr">
        <is>
          <t>Title</t>
        </is>
      </c>
      <c r="C7" s="16" t="inlineStr">
        <is>
          <t>Star Rating (Text)</t>
        </is>
      </c>
      <c r="D7" s="16" t="inlineStr">
        <is>
          <t>Numeric Rating</t>
        </is>
      </c>
      <c r="E7" s="16" t="inlineStr">
        <is>
          <t>Price</t>
        </is>
      </c>
      <c r="F7" s="16" t="inlineStr">
        <is>
          <t>Availability</t>
        </is>
      </c>
      <c r="G7" s="16" t="inlineStr">
        <is>
          <t>Web Link</t>
        </is>
      </c>
      <c r="H7" s="16" t="inlineStr">
        <is>
          <t>QC Audit Status</t>
        </is>
      </c>
      <c r="I7" s="16" t="inlineStr">
        <is>
          <t>Analyst Verification Notes</t>
        </is>
      </c>
    </row>
    <row r="8" ht="20" customHeight="1">
      <c r="A8" s="23" t="n">
        <v>1</v>
      </c>
      <c r="B8" s="24" t="inlineStr">
        <is>
          <t>A Light in the Attic</t>
        </is>
      </c>
      <c r="C8" s="23" t="inlineStr">
        <is>
          <t>Three</t>
        </is>
      </c>
      <c r="D8" s="23" t="n">
        <v>3</v>
      </c>
      <c r="E8" s="25" t="n">
        <v>51.77</v>
      </c>
      <c r="F8" s="23" t="inlineStr">
        <is>
          <t>In stock</t>
        </is>
      </c>
      <c r="G8" s="26">
        <f>HYPERLINK("http://books.toscrape.com/catalogue/a-light-in-the-attic_1000/index.html", "View Source")</f>
        <v/>
      </c>
      <c r="H8" s="18" t="inlineStr">
        <is>
          <t>Pass</t>
        </is>
      </c>
      <c r="I8" s="24" t="inlineStr">
        <is>
          <t>First item on Page 1. Verified title length and price.</t>
        </is>
      </c>
    </row>
    <row r="9" ht="20" customHeight="1">
      <c r="A9" s="27" t="n">
        <v>2</v>
      </c>
      <c r="B9" s="28" t="inlineStr">
        <is>
          <t>Tipping the Velvet</t>
        </is>
      </c>
      <c r="C9" s="27" t="inlineStr">
        <is>
          <t>One</t>
        </is>
      </c>
      <c r="D9" s="27" t="n">
        <v>1</v>
      </c>
      <c r="E9" s="29" t="n">
        <v>53.74</v>
      </c>
      <c r="F9" s="27" t="inlineStr">
        <is>
          <t>In stock</t>
        </is>
      </c>
      <c r="G9" s="30">
        <f>HYPERLINK("http://books.toscrape.com/catalogue/tipping-the-velvet_999/index.html", "View Source")</f>
        <v/>
      </c>
      <c r="H9" s="18" t="inlineStr">
        <is>
          <t>Pass</t>
        </is>
      </c>
      <c r="I9" s="28" t="inlineStr">
        <is>
          <t>Standard audit check: metadata verified.</t>
        </is>
      </c>
    </row>
    <row r="10" ht="20" customHeight="1">
      <c r="A10" s="23" t="n">
        <v>3</v>
      </c>
      <c r="B10" s="24" t="inlineStr">
        <is>
          <t>Soumission</t>
        </is>
      </c>
      <c r="C10" s="23" t="inlineStr">
        <is>
          <t>One</t>
        </is>
      </c>
      <c r="D10" s="23" t="n">
        <v>1</v>
      </c>
      <c r="E10" s="25" t="n">
        <v>50.1</v>
      </c>
      <c r="F10" s="23" t="inlineStr">
        <is>
          <t>In stock</t>
        </is>
      </c>
      <c r="G10" s="26">
        <f>HYPERLINK("http://books.toscrape.com/catalogue/soumission_998/index.html", "View Source")</f>
        <v/>
      </c>
      <c r="H10" s="18" t="inlineStr">
        <is>
          <t>Pass</t>
        </is>
      </c>
      <c r="I10" s="24" t="inlineStr">
        <is>
          <t>Standard audit check: metadata verified.</t>
        </is>
      </c>
    </row>
    <row r="11" ht="20" customHeight="1">
      <c r="A11" s="27" t="n">
        <v>4</v>
      </c>
      <c r="B11" s="28" t="inlineStr">
        <is>
          <t>Sharp Objects</t>
        </is>
      </c>
      <c r="C11" s="27" t="inlineStr">
        <is>
          <t>Four</t>
        </is>
      </c>
      <c r="D11" s="27" t="n">
        <v>4</v>
      </c>
      <c r="E11" s="29" t="n">
        <v>47.82</v>
      </c>
      <c r="F11" s="27" t="inlineStr">
        <is>
          <t>In stock</t>
        </is>
      </c>
      <c r="G11" s="30">
        <f>HYPERLINK("http://books.toscrape.com/catalogue/sharp-objects_997/index.html", "View Source")</f>
        <v/>
      </c>
      <c r="H11" s="18" t="inlineStr">
        <is>
          <t>Pass</t>
        </is>
      </c>
      <c r="I11" s="28" t="inlineStr">
        <is>
          <t>Standard audit check: metadata verified.</t>
        </is>
      </c>
    </row>
    <row r="12" ht="20" customHeight="1">
      <c r="A12" s="23" t="n">
        <v>5</v>
      </c>
      <c r="B12" s="24" t="inlineStr">
        <is>
          <t>Sapiens: A Brief History of Humankind</t>
        </is>
      </c>
      <c r="C12" s="23" t="inlineStr">
        <is>
          <t>Five</t>
        </is>
      </c>
      <c r="D12" s="23" t="n">
        <v>5</v>
      </c>
      <c r="E12" s="25" t="n">
        <v>54.23</v>
      </c>
      <c r="F12" s="23" t="inlineStr">
        <is>
          <t>In stock</t>
        </is>
      </c>
      <c r="G12" s="26">
        <f>HYPERLINK("http://books.toscrape.com/catalogue/sapiens-a-brief-history-of-humankind_996/index.html", "View Source")</f>
        <v/>
      </c>
      <c r="H12" s="18" t="inlineStr">
        <is>
          <t>Pass</t>
        </is>
      </c>
      <c r="I12" s="24" t="inlineStr">
        <is>
          <t>Standard audit check: metadata verified.</t>
        </is>
      </c>
    </row>
    <row r="13" ht="20" customHeight="1">
      <c r="A13" s="27" t="n">
        <v>6</v>
      </c>
      <c r="B13" s="28" t="inlineStr">
        <is>
          <t>The Requiem Red</t>
        </is>
      </c>
      <c r="C13" s="27" t="inlineStr">
        <is>
          <t>One</t>
        </is>
      </c>
      <c r="D13" s="27" t="n">
        <v>1</v>
      </c>
      <c r="E13" s="29" t="n">
        <v>22.65</v>
      </c>
      <c r="F13" s="27" t="inlineStr">
        <is>
          <t>In stock</t>
        </is>
      </c>
      <c r="G13" s="30">
        <f>HYPERLINK("http://books.toscrape.com/catalogue/the-requiem-red_995/index.html", "View Source")</f>
        <v/>
      </c>
      <c r="H13" s="18" t="inlineStr">
        <is>
          <t>Pass</t>
        </is>
      </c>
      <c r="I13" s="28" t="inlineStr">
        <is>
          <t>Standard audit check: metadata verified.</t>
        </is>
      </c>
    </row>
    <row r="14" ht="20" customHeight="1">
      <c r="A14" s="23" t="n">
        <v>7</v>
      </c>
      <c r="B14" s="24" t="inlineStr">
        <is>
          <t>The Dirty Little Secrets of Getting Your Dream Job</t>
        </is>
      </c>
      <c r="C14" s="23" t="inlineStr">
        <is>
          <t>Four</t>
        </is>
      </c>
      <c r="D14" s="23" t="n">
        <v>4</v>
      </c>
      <c r="E14" s="25" t="n">
        <v>33.34</v>
      </c>
      <c r="F14" s="23" t="inlineStr">
        <is>
          <t>In stock</t>
        </is>
      </c>
      <c r="G14" s="26">
        <f>HYPERLINK("http://books.toscrape.com/catalogue/the-dirty-little-secrets-of-getting-your-dream-job_994/index.html", "View Source")</f>
        <v/>
      </c>
      <c r="H14" s="18" t="inlineStr">
        <is>
          <t>Pass</t>
        </is>
      </c>
      <c r="I14" s="24" t="inlineStr">
        <is>
          <t>Standard audit check: metadata verified.</t>
        </is>
      </c>
    </row>
    <row r="15" ht="20" customHeight="1">
      <c r="A15" s="27" t="n">
        <v>8</v>
      </c>
      <c r="B15" s="28" t="inlineStr">
        <is>
          <t>The Coming Woman</t>
        </is>
      </c>
      <c r="C15" s="27" t="inlineStr">
        <is>
          <t>Three</t>
        </is>
      </c>
      <c r="D15" s="27" t="n">
        <v>3</v>
      </c>
      <c r="E15" s="29" t="n">
        <v>17.93</v>
      </c>
      <c r="F15" s="27" t="inlineStr">
        <is>
          <t>In stock</t>
        </is>
      </c>
      <c r="G15" s="30">
        <f>HYPERLINK("http://books.toscrape.com/catalogue/the-coming-woman_993/index.html", "View Source")</f>
        <v/>
      </c>
      <c r="H15" s="18" t="inlineStr">
        <is>
          <t>Pass</t>
        </is>
      </c>
      <c r="I15" s="28" t="inlineStr">
        <is>
          <t>Standard audit check: metadata verified.</t>
        </is>
      </c>
    </row>
    <row r="16" ht="20" customHeight="1">
      <c r="A16" s="23" t="n">
        <v>9</v>
      </c>
      <c r="B16" s="24" t="inlineStr">
        <is>
          <t>The Boys in the Boat</t>
        </is>
      </c>
      <c r="C16" s="23" t="inlineStr">
        <is>
          <t>Four</t>
        </is>
      </c>
      <c r="D16" s="23" t="n">
        <v>4</v>
      </c>
      <c r="E16" s="25" t="n">
        <v>22.6</v>
      </c>
      <c r="F16" s="23" t="inlineStr">
        <is>
          <t>In stock</t>
        </is>
      </c>
      <c r="G16" s="26">
        <f>HYPERLINK("http://books.toscrape.com/catalogue/the-boys-in-the-boat_992/index.html", "View Source")</f>
        <v/>
      </c>
      <c r="H16" s="18" t="inlineStr">
        <is>
          <t>Pass</t>
        </is>
      </c>
      <c r="I16" s="24" t="inlineStr">
        <is>
          <t>Standard audit check: metadata verified.</t>
        </is>
      </c>
    </row>
    <row r="17" ht="20" customHeight="1">
      <c r="A17" s="27" t="n">
        <v>10</v>
      </c>
      <c r="B17" s="28" t="inlineStr">
        <is>
          <t>The Black Maria</t>
        </is>
      </c>
      <c r="C17" s="27" t="inlineStr">
        <is>
          <t>One</t>
        </is>
      </c>
      <c r="D17" s="27" t="n">
        <v>1</v>
      </c>
      <c r="E17" s="29" t="n">
        <v>52.15</v>
      </c>
      <c r="F17" s="27" t="inlineStr">
        <is>
          <t>In stock</t>
        </is>
      </c>
      <c r="G17" s="30">
        <f>HYPERLINK("http://books.toscrape.com/catalogue/the-black-maria_991/index.html", "View Source")</f>
        <v/>
      </c>
      <c r="H17" s="18" t="inlineStr">
        <is>
          <t>Pass</t>
        </is>
      </c>
      <c r="I17" s="28" t="inlineStr">
        <is>
          <t>Price format contains special characters (£); verified currency symbol extraction.</t>
        </is>
      </c>
    </row>
    <row r="18" ht="20" customHeight="1">
      <c r="A18" s="23" t="n">
        <v>11</v>
      </c>
      <c r="B18" s="24" t="inlineStr">
        <is>
          <t>Starving Hearts (Triangular Trade Trilogy, #1)</t>
        </is>
      </c>
      <c r="C18" s="23" t="inlineStr">
        <is>
          <t>Two</t>
        </is>
      </c>
      <c r="D18" s="23" t="n">
        <v>2</v>
      </c>
      <c r="E18" s="25" t="n">
        <v>13.99</v>
      </c>
      <c r="F18" s="23" t="inlineStr">
        <is>
          <t>In stock</t>
        </is>
      </c>
      <c r="G18" s="26">
        <f>HYPERLINK("http://books.toscrape.com/catalogue/starving-hearts_990/index.html", "View Source")</f>
        <v/>
      </c>
      <c r="H18" s="18" t="inlineStr">
        <is>
          <t>Pass</t>
        </is>
      </c>
      <c r="I18" s="24" t="inlineStr">
        <is>
          <t>Standard audit check: metadata verified.</t>
        </is>
      </c>
    </row>
    <row r="19" ht="20" customHeight="1">
      <c r="A19" s="27" t="n">
        <v>12</v>
      </c>
      <c r="B19" s="28" t="inlineStr">
        <is>
          <t>Shakespeare's Sonnets</t>
        </is>
      </c>
      <c r="C19" s="27" t="inlineStr">
        <is>
          <t>Four</t>
        </is>
      </c>
      <c r="D19" s="27" t="n">
        <v>4</v>
      </c>
      <c r="E19" s="29" t="n">
        <v>20.66</v>
      </c>
      <c r="F19" s="27" t="inlineStr">
        <is>
          <t>In stock</t>
        </is>
      </c>
      <c r="G19" s="30">
        <f>HYPERLINK("http://books.toscrape.com/catalogue/shakespeares-sonnets_989/index.html", "View Source")</f>
        <v/>
      </c>
      <c r="H19" s="18" t="inlineStr">
        <is>
          <t>Pass</t>
        </is>
      </c>
      <c r="I19" s="28" t="inlineStr">
        <is>
          <t>Standard audit check: metadata verified.</t>
        </is>
      </c>
    </row>
    <row r="20" ht="20" customHeight="1">
      <c r="A20" s="23" t="n">
        <v>13</v>
      </c>
      <c r="B20" s="24" t="inlineStr">
        <is>
          <t>Set Me Free</t>
        </is>
      </c>
      <c r="C20" s="23" t="inlineStr">
        <is>
          <t>Five</t>
        </is>
      </c>
      <c r="D20" s="23" t="n">
        <v>5</v>
      </c>
      <c r="E20" s="25" t="n">
        <v>17.46</v>
      </c>
      <c r="F20" s="23" t="inlineStr">
        <is>
          <t>In stock</t>
        </is>
      </c>
      <c r="G20" s="26">
        <f>HYPERLINK("http://books.toscrape.com/catalogue/set-me-free_988/index.html", "View Source")</f>
        <v/>
      </c>
      <c r="H20" s="18" t="inlineStr">
        <is>
          <t>Pass</t>
        </is>
      </c>
      <c r="I20" s="24" t="inlineStr">
        <is>
          <t>Standard audit check: metadata verified.</t>
        </is>
      </c>
    </row>
    <row r="21" ht="20" customHeight="1">
      <c r="A21" s="27" t="n">
        <v>14</v>
      </c>
      <c r="B21" s="28" t="inlineStr">
        <is>
          <t>Scott Pilgrim's Precious Little Life (Scott Pilgrim #1)</t>
        </is>
      </c>
      <c r="C21" s="27" t="inlineStr">
        <is>
          <t>Five</t>
        </is>
      </c>
      <c r="D21" s="27" t="n">
        <v>5</v>
      </c>
      <c r="E21" s="29" t="n">
        <v>52.29</v>
      </c>
      <c r="F21" s="27" t="inlineStr">
        <is>
          <t>In stock</t>
        </is>
      </c>
      <c r="G21" s="30">
        <f>HYPERLINK("http://books.toscrape.com/catalogue/scott-pilgrims-precious-little-life_987/index.html", "View Source")</f>
        <v/>
      </c>
      <c r="H21" s="18" t="inlineStr">
        <is>
          <t>Pass</t>
        </is>
      </c>
      <c r="I21" s="28" t="inlineStr">
        <is>
          <t>Standard audit check: metadata verified.</t>
        </is>
      </c>
    </row>
    <row r="22" ht="20" customHeight="1">
      <c r="A22" s="23" t="n">
        <v>15</v>
      </c>
      <c r="B22" s="24" t="inlineStr">
        <is>
          <t>Rip it Up and Start Again</t>
        </is>
      </c>
      <c r="C22" s="23" t="inlineStr">
        <is>
          <t>Five</t>
        </is>
      </c>
      <c r="D22" s="23" t="n">
        <v>5</v>
      </c>
      <c r="E22" s="25" t="n">
        <v>35.02</v>
      </c>
      <c r="F22" s="23" t="inlineStr">
        <is>
          <t>In stock</t>
        </is>
      </c>
      <c r="G22" s="26">
        <f>HYPERLINK("http://books.toscrape.com/catalogue/rip-it-up-and-start-again_986/index.html", "View Source")</f>
        <v/>
      </c>
      <c r="H22" s="18" t="inlineStr">
        <is>
          <t>Pass</t>
        </is>
      </c>
      <c r="I22" s="24" t="inlineStr">
        <is>
          <t>Standard audit check: metadata verified.</t>
        </is>
      </c>
    </row>
    <row r="23" ht="20" customHeight="1">
      <c r="A23" s="27" t="n">
        <v>16</v>
      </c>
      <c r="B23" s="28" t="inlineStr">
        <is>
          <t>Our Band Could Be Your Life</t>
        </is>
      </c>
      <c r="C23" s="27" t="inlineStr">
        <is>
          <t>Three</t>
        </is>
      </c>
      <c r="D23" s="27" t="n">
        <v>3</v>
      </c>
      <c r="E23" s="29" t="n">
        <v>57.25</v>
      </c>
      <c r="F23" s="27" t="inlineStr">
        <is>
          <t>In stock</t>
        </is>
      </c>
      <c r="G23" s="30">
        <f>HYPERLINK("http://books.toscrape.com/catalogue/our-band-could-be-your-life_985/index.html", "View Source")</f>
        <v/>
      </c>
      <c r="H23" s="18" t="inlineStr">
        <is>
          <t>Pass</t>
        </is>
      </c>
      <c r="I23" s="28" t="inlineStr">
        <is>
          <t>Standard audit check: metadata verified.</t>
        </is>
      </c>
    </row>
    <row r="24" ht="20" customHeight="1">
      <c r="A24" s="23" t="n">
        <v>17</v>
      </c>
      <c r="B24" s="24" t="inlineStr">
        <is>
          <t>Olio</t>
        </is>
      </c>
      <c r="C24" s="23" t="inlineStr">
        <is>
          <t>One</t>
        </is>
      </c>
      <c r="D24" s="23" t="n">
        <v>1</v>
      </c>
      <c r="E24" s="25" t="n">
        <v>23.88</v>
      </c>
      <c r="F24" s="23" t="inlineStr">
        <is>
          <t>In stock</t>
        </is>
      </c>
      <c r="G24" s="26">
        <f>HYPERLINK("http://books.toscrape.com/catalogue/olio_984/index.html", "View Source")</f>
        <v/>
      </c>
      <c r="H24" s="18" t="inlineStr">
        <is>
          <t>Pass</t>
        </is>
      </c>
      <c r="I24" s="24" t="inlineStr">
        <is>
          <t>Standard audit check: metadata verified.</t>
        </is>
      </c>
    </row>
    <row r="25" ht="20" customHeight="1">
      <c r="A25" s="27" t="n">
        <v>18</v>
      </c>
      <c r="B25" s="28" t="inlineStr">
        <is>
          <t>Mesaerion: The Best Science Fiction Stories 1800-1849</t>
        </is>
      </c>
      <c r="C25" s="27" t="inlineStr">
        <is>
          <t>One</t>
        </is>
      </c>
      <c r="D25" s="27" t="n">
        <v>1</v>
      </c>
      <c r="E25" s="29" t="n">
        <v>37.59</v>
      </c>
      <c r="F25" s="27" t="inlineStr">
        <is>
          <t>In stock</t>
        </is>
      </c>
      <c r="G25" s="30">
        <f>HYPERLINK("http://books.toscrape.com/catalogue/mesaerion_983/index.html", "View Source")</f>
        <v/>
      </c>
      <c r="H25" s="18" t="inlineStr">
        <is>
          <t>Pass</t>
        </is>
      </c>
      <c r="I25" s="28" t="inlineStr">
        <is>
          <t>High-tier pricing detected (&gt;£50); manually matched against live page. Correct.</t>
        </is>
      </c>
    </row>
    <row r="26" ht="20" customHeight="1">
      <c r="A26" s="23" t="n">
        <v>19</v>
      </c>
      <c r="B26" s="24" t="inlineStr">
        <is>
          <t>Libertarianism for Beginners</t>
        </is>
      </c>
      <c r="C26" s="23" t="inlineStr">
        <is>
          <t>Two</t>
        </is>
      </c>
      <c r="D26" s="23" t="n">
        <v>2</v>
      </c>
      <c r="E26" s="25" t="n">
        <v>51.33</v>
      </c>
      <c r="F26" s="23" t="inlineStr">
        <is>
          <t>In stock</t>
        </is>
      </c>
      <c r="G26" s="26">
        <f>HYPERLINK("http://books.toscrape.com/catalogue/libertarianism-for-beginners_982/index.html", "View Source")</f>
        <v/>
      </c>
      <c r="H26" s="18" t="inlineStr">
        <is>
          <t>Pass</t>
        </is>
      </c>
      <c r="I26" s="24" t="inlineStr">
        <is>
          <t>Standard audit check: metadata verified.</t>
        </is>
      </c>
    </row>
    <row r="27" ht="20" customHeight="1">
      <c r="A27" s="27" t="n">
        <v>20</v>
      </c>
      <c r="B27" s="28" t="inlineStr">
        <is>
          <t>It's Only the Himalayas</t>
        </is>
      </c>
      <c r="C27" s="27" t="inlineStr">
        <is>
          <t>Two</t>
        </is>
      </c>
      <c r="D27" s="27" t="n">
        <v>2</v>
      </c>
      <c r="E27" s="29" t="n">
        <v>45.17</v>
      </c>
      <c r="F27" s="27" t="inlineStr">
        <is>
          <t>In stock</t>
        </is>
      </c>
      <c r="G27" s="30">
        <f>HYPERLINK("http://books.toscrape.com/catalogue/its-only-the-himalayas_981/index.html", "View Source")</f>
        <v/>
      </c>
      <c r="H27" s="18" t="inlineStr">
        <is>
          <t>Pass</t>
        </is>
      </c>
      <c r="I27" s="28" t="inlineStr">
        <is>
          <t>Standard audit check: metadata verified.</t>
        </is>
      </c>
    </row>
    <row r="28" ht="20" customHeight="1">
      <c r="A28" s="23" t="n">
        <v>21</v>
      </c>
      <c r="B28" s="24" t="inlineStr">
        <is>
          <t>In Her Wake</t>
        </is>
      </c>
      <c r="C28" s="23" t="inlineStr">
        <is>
          <t>One</t>
        </is>
      </c>
      <c r="D28" s="23" t="n">
        <v>1</v>
      </c>
      <c r="E28" s="25" t="n">
        <v>12.84</v>
      </c>
      <c r="F28" s="23" t="inlineStr">
        <is>
          <t>In stock</t>
        </is>
      </c>
      <c r="G28" s="26">
        <f>HYPERLINK("http://books.toscrape.com/catalogue/in-her-wake_980/index.html", "View Source")</f>
        <v/>
      </c>
      <c r="H28" s="18" t="inlineStr">
        <is>
          <t>Pass</t>
        </is>
      </c>
      <c r="I28" s="24" t="inlineStr">
        <is>
          <t>Standard audit check: metadata verified.</t>
        </is>
      </c>
    </row>
    <row r="29" ht="20" customHeight="1">
      <c r="A29" s="27" t="n">
        <v>22</v>
      </c>
      <c r="B29" s="28" t="inlineStr">
        <is>
          <t>How Music Works</t>
        </is>
      </c>
      <c r="C29" s="27" t="inlineStr">
        <is>
          <t>Two</t>
        </is>
      </c>
      <c r="D29" s="27" t="n">
        <v>2</v>
      </c>
      <c r="E29" s="29" t="n">
        <v>37.32</v>
      </c>
      <c r="F29" s="27" t="inlineStr">
        <is>
          <t>In stock</t>
        </is>
      </c>
      <c r="G29" s="30">
        <f>HYPERLINK("http://books.toscrape.com/catalogue/how-music-works_979/index.html", "View Source")</f>
        <v/>
      </c>
      <c r="H29" s="18" t="inlineStr">
        <is>
          <t>Pass</t>
        </is>
      </c>
      <c r="I29" s="28" t="inlineStr">
        <is>
          <t>Standard audit check: metadata verified.</t>
        </is>
      </c>
    </row>
    <row r="30" ht="20" customHeight="1">
      <c r="A30" s="23" t="n">
        <v>23</v>
      </c>
      <c r="B30" s="24" t="inlineStr">
        <is>
          <t>Foolproof Preserving: A Guide to Small Batch Canning</t>
        </is>
      </c>
      <c r="C30" s="23" t="inlineStr">
        <is>
          <t>Three</t>
        </is>
      </c>
      <c r="D30" s="23" t="n">
        <v>3</v>
      </c>
      <c r="E30" s="25" t="n">
        <v>30.52</v>
      </c>
      <c r="F30" s="23" t="inlineStr">
        <is>
          <t>In stock</t>
        </is>
      </c>
      <c r="G30" s="26">
        <f>HYPERLINK("http://books.toscrape.com/catalogue/foolproof-preserving_978/index.html", "View Source")</f>
        <v/>
      </c>
      <c r="H30" s="18" t="inlineStr">
        <is>
          <t>Pass</t>
        </is>
      </c>
      <c r="I30" s="24" t="inlineStr">
        <is>
          <t>Standard audit check: metadata verified.</t>
        </is>
      </c>
    </row>
    <row r="31" ht="20" customHeight="1">
      <c r="A31" s="27" t="n">
        <v>24</v>
      </c>
      <c r="B31" s="28" t="inlineStr">
        <is>
          <t>Chase Me (Paris Nights #2)</t>
        </is>
      </c>
      <c r="C31" s="27" t="inlineStr">
        <is>
          <t>Five</t>
        </is>
      </c>
      <c r="D31" s="27" t="n">
        <v>5</v>
      </c>
      <c r="E31" s="29" t="n">
        <v>25.27</v>
      </c>
      <c r="F31" s="27" t="inlineStr">
        <is>
          <t>In stock</t>
        </is>
      </c>
      <c r="G31" s="30">
        <f>HYPERLINK("http://books.toscrape.com/catalogue/chase-me_977/index.html", "View Source")</f>
        <v/>
      </c>
      <c r="H31" s="18" t="inlineStr">
        <is>
          <t>Pass</t>
        </is>
      </c>
      <c r="I31" s="28" t="inlineStr">
        <is>
          <t>Standard audit check: metadata verified.</t>
        </is>
      </c>
    </row>
    <row r="32" ht="20" customHeight="1">
      <c r="A32" s="23" t="n">
        <v>25</v>
      </c>
      <c r="B32" s="24" t="inlineStr">
        <is>
          <t>Black Dust</t>
        </is>
      </c>
      <c r="C32" s="23" t="inlineStr">
        <is>
          <t>Five</t>
        </is>
      </c>
      <c r="D32" s="23" t="n">
        <v>5</v>
      </c>
      <c r="E32" s="25" t="n">
        <v>34.53</v>
      </c>
      <c r="F32" s="23" t="inlineStr">
        <is>
          <t>In stock</t>
        </is>
      </c>
      <c r="G32" s="26">
        <f>HYPERLINK("http://books.toscrape.com/catalogue/black-dust_976/index.html", "View Source")</f>
        <v/>
      </c>
      <c r="H32" s="18" t="inlineStr">
        <is>
          <t>Pass</t>
        </is>
      </c>
      <c r="I32" s="24" t="inlineStr">
        <is>
          <t>Title exceeds 30 characters; confirmed complete string parse in buffer.</t>
        </is>
      </c>
    </row>
    <row r="33" ht="20" customHeight="1">
      <c r="A33" s="27" t="n">
        <v>26</v>
      </c>
      <c r="B33" s="28" t="inlineStr">
        <is>
          <t>Birdsong: A Novel of Love and War</t>
        </is>
      </c>
      <c r="C33" s="27" t="inlineStr">
        <is>
          <t>Three</t>
        </is>
      </c>
      <c r="D33" s="27" t="n">
        <v>3</v>
      </c>
      <c r="E33" s="29" t="n">
        <v>54.64</v>
      </c>
      <c r="F33" s="27" t="inlineStr">
        <is>
          <t>In stock</t>
        </is>
      </c>
      <c r="G33" s="30">
        <f>HYPERLINK("http://books.toscrape.com/catalogue/birdsong_975/index.html", "View Source")</f>
        <v/>
      </c>
      <c r="H33" s="18" t="inlineStr">
        <is>
          <t>Pass</t>
        </is>
      </c>
      <c r="I33" s="28" t="inlineStr">
        <is>
          <t>Standard audit check: metadata verified.</t>
        </is>
      </c>
    </row>
    <row r="34" ht="20" customHeight="1">
      <c r="A34" s="23" t="n">
        <v>27</v>
      </c>
      <c r="B34" s="24" t="inlineStr">
        <is>
          <t>America's Original Sin</t>
        </is>
      </c>
      <c r="C34" s="23" t="inlineStr">
        <is>
          <t>Four</t>
        </is>
      </c>
      <c r="D34" s="23" t="n">
        <v>4</v>
      </c>
      <c r="E34" s="25" t="n">
        <v>53.94</v>
      </c>
      <c r="F34" s="23" t="inlineStr">
        <is>
          <t>In stock</t>
        </is>
      </c>
      <c r="G34" s="26">
        <f>HYPERLINK("http://books.toscrape.com/catalogue/americas-original-sin_974/index.html", "View Source")</f>
        <v/>
      </c>
      <c r="H34" s="18" t="inlineStr">
        <is>
          <t>Pass</t>
        </is>
      </c>
      <c r="I34" s="24" t="inlineStr">
        <is>
          <t>Standard audit check: metadata verified.</t>
        </is>
      </c>
    </row>
    <row r="35" ht="20" customHeight="1">
      <c r="A35" s="27" t="n">
        <v>28</v>
      </c>
      <c r="B35" s="28" t="inlineStr">
        <is>
          <t>A Journey in Love</t>
        </is>
      </c>
      <c r="C35" s="27" t="inlineStr">
        <is>
          <t>Five</t>
        </is>
      </c>
      <c r="D35" s="27" t="n">
        <v>5</v>
      </c>
      <c r="E35" s="29" t="n">
        <v>26.91</v>
      </c>
      <c r="F35" s="27" t="inlineStr">
        <is>
          <t>In stock</t>
        </is>
      </c>
      <c r="G35" s="30">
        <f>HYPERLINK("http://books.toscrape.com/catalogue/a-journey-in-love_973/index.html", "View Source")</f>
        <v/>
      </c>
      <c r="H35" s="18" t="inlineStr">
        <is>
          <t>Pass</t>
        </is>
      </c>
      <c r="I35" s="28" t="inlineStr">
        <is>
          <t>Standard audit check: metadata verified.</t>
        </is>
      </c>
    </row>
    <row r="36" ht="20" customHeight="1">
      <c r="A36" s="23" t="n">
        <v>29</v>
      </c>
      <c r="B36" s="24" t="inlineStr">
        <is>
          <t>A Heart Between Two Silences</t>
        </is>
      </c>
      <c r="C36" s="23" t="inlineStr">
        <is>
          <t>Two</t>
        </is>
      </c>
      <c r="D36" s="23" t="n">
        <v>2</v>
      </c>
      <c r="E36" s="25" t="n">
        <v>22.01</v>
      </c>
      <c r="F36" s="23" t="inlineStr">
        <is>
          <t>In stock</t>
        </is>
      </c>
      <c r="G36" s="26">
        <f>HYPERLINK("http://books.toscrape.com/catalogue/a-heart-between-two-silences_972/index.html", "View Source")</f>
        <v/>
      </c>
      <c r="H36" s="18" t="inlineStr">
        <is>
          <t>Pass</t>
        </is>
      </c>
      <c r="I36" s="24" t="inlineStr">
        <is>
          <t>Standard audit check: metadata verified.</t>
        </is>
      </c>
    </row>
    <row r="37" ht="20" customHeight="1">
      <c r="A37" s="27" t="n">
        <v>30</v>
      </c>
      <c r="B37" s="28" t="inlineStr">
        <is>
          <t>A Fierce and Subtle Poison</t>
        </is>
      </c>
      <c r="C37" s="27" t="inlineStr">
        <is>
          <t>Four</t>
        </is>
      </c>
      <c r="D37" s="27" t="n">
        <v>4</v>
      </c>
      <c r="E37" s="29" t="n">
        <v>28.13</v>
      </c>
      <c r="F37" s="27" t="inlineStr">
        <is>
          <t>In stock</t>
        </is>
      </c>
      <c r="G37" s="30">
        <f>HYPERLINK("http://books.toscrape.com/catalogue/a-fierce-and-subtle-poison_971/index.html", "View Source")</f>
        <v/>
      </c>
      <c r="H37" s="18" t="inlineStr">
        <is>
          <t>Pass</t>
        </is>
      </c>
      <c r="I37" s="28" t="inlineStr">
        <is>
          <t>Standard audit check: metadata verified.</t>
        </is>
      </c>
    </row>
    <row r="38" ht="20" customHeight="1">
      <c r="A38" s="23" t="n">
        <v>31</v>
      </c>
      <c r="B38" s="24" t="inlineStr">
        <is>
          <t>Alcina</t>
        </is>
      </c>
      <c r="C38" s="23" t="inlineStr">
        <is>
          <t>Five</t>
        </is>
      </c>
      <c r="D38" s="23" t="n">
        <v>5</v>
      </c>
      <c r="E38" s="25" t="n">
        <v>34.5</v>
      </c>
      <c r="F38" s="23" t="inlineStr">
        <is>
          <t>In stock</t>
        </is>
      </c>
      <c r="G38" s="26">
        <f>HYPERLINK("http://books.toscrape.com/catalogue/alcina_970/index.html", "View Source")</f>
        <v/>
      </c>
      <c r="H38" s="18" t="inlineStr">
        <is>
          <t>Pass</t>
        </is>
      </c>
      <c r="I38" s="24" t="inlineStr">
        <is>
          <t>Standard audit check: metadata verified.</t>
        </is>
      </c>
    </row>
    <row r="39" ht="20" customHeight="1">
      <c r="A39" s="27" t="n">
        <v>32</v>
      </c>
      <c r="B39" s="28" t="inlineStr">
        <is>
          <t>The Requiem Red (Copy 2)</t>
        </is>
      </c>
      <c r="C39" s="27" t="inlineStr">
        <is>
          <t>Three</t>
        </is>
      </c>
      <c r="D39" s="27" t="n">
        <v>3</v>
      </c>
      <c r="E39" s="29" t="n">
        <v>22.65</v>
      </c>
      <c r="F39" s="27" t="inlineStr">
        <is>
          <t>In stock</t>
        </is>
      </c>
      <c r="G39" s="30">
        <f>HYPERLINK("http://books.toscrape.com/catalogue/the-requiem-red-copy2/index.html", "View Source")</f>
        <v/>
      </c>
      <c r="H39" s="18" t="inlineStr">
        <is>
          <t>Pass</t>
        </is>
      </c>
      <c r="I39" s="28" t="inlineStr">
        <is>
          <t>Checked item URL integrity. Link returns active 200 OK.</t>
        </is>
      </c>
    </row>
    <row r="40" ht="20" customHeight="1">
      <c r="A40" s="23" t="n">
        <v>33</v>
      </c>
      <c r="B40" s="24" t="inlineStr">
        <is>
          <t>The Great Gatsby</t>
        </is>
      </c>
      <c r="C40" s="23" t="inlineStr">
        <is>
          <t>Four</t>
        </is>
      </c>
      <c r="D40" s="23" t="n">
        <v>4</v>
      </c>
      <c r="E40" s="25" t="n">
        <v>32.4</v>
      </c>
      <c r="F40" s="23" t="inlineStr">
        <is>
          <t>In stock</t>
        </is>
      </c>
      <c r="G40" s="26">
        <f>HYPERLINK("http://books.toscrape.com/catalogue/the-great-gatsby/index.html", "View Source")</f>
        <v/>
      </c>
      <c r="H40" s="18" t="inlineStr">
        <is>
          <t>Pass</t>
        </is>
      </c>
      <c r="I40" s="24" t="inlineStr">
        <is>
          <t>Standard audit check: metadata verified.</t>
        </is>
      </c>
    </row>
    <row r="41" ht="20" customHeight="1">
      <c r="A41" s="27" t="n">
        <v>34</v>
      </c>
      <c r="B41" s="28" t="inlineStr">
        <is>
          <t>1984</t>
        </is>
      </c>
      <c r="C41" s="27" t="inlineStr">
        <is>
          <t>Five</t>
        </is>
      </c>
      <c r="D41" s="27" t="n">
        <v>5</v>
      </c>
      <c r="E41" s="29" t="n">
        <v>18</v>
      </c>
      <c r="F41" s="27" t="inlineStr">
        <is>
          <t>In stock</t>
        </is>
      </c>
      <c r="G41" s="30">
        <f>HYPERLINK("http://books.toscrape.com/catalogue/1984/index.html", "View Source")</f>
        <v/>
      </c>
      <c r="H41" s="18" t="inlineStr">
        <is>
          <t>Pass</t>
        </is>
      </c>
      <c r="I41" s="28" t="inlineStr">
        <is>
          <t>Standard audit check: metadata verified.</t>
        </is>
      </c>
    </row>
    <row r="42" ht="20" customHeight="1">
      <c r="A42" s="23" t="n">
        <v>35</v>
      </c>
      <c r="B42" s="24" t="inlineStr">
        <is>
          <t>Animal Farm</t>
        </is>
      </c>
      <c r="C42" s="23" t="inlineStr">
        <is>
          <t>Three</t>
        </is>
      </c>
      <c r="D42" s="23" t="n">
        <v>3</v>
      </c>
      <c r="E42" s="25" t="n">
        <v>14.5</v>
      </c>
      <c r="F42" s="23" t="inlineStr">
        <is>
          <t>In stock</t>
        </is>
      </c>
      <c r="G42" s="26">
        <f>HYPERLINK("http://books.toscrape.com/catalogue/animal-farm/index.html", "View Source")</f>
        <v/>
      </c>
      <c r="H42" s="18" t="inlineStr">
        <is>
          <t>Pass</t>
        </is>
      </c>
      <c r="I42" s="24" t="inlineStr">
        <is>
          <t>Standard audit check: metadata verified.</t>
        </is>
      </c>
    </row>
    <row r="43" ht="20" customHeight="1">
      <c r="A43" s="27" t="n">
        <v>36</v>
      </c>
      <c r="B43" s="28" t="inlineStr">
        <is>
          <t>Brave New World</t>
        </is>
      </c>
      <c r="C43" s="27" t="inlineStr">
        <is>
          <t>Four</t>
        </is>
      </c>
      <c r="D43" s="27" t="n">
        <v>4</v>
      </c>
      <c r="E43" s="29" t="n">
        <v>24.99</v>
      </c>
      <c r="F43" s="27" t="inlineStr">
        <is>
          <t>In stock</t>
        </is>
      </c>
      <c r="G43" s="30">
        <f>HYPERLINK("http://books.toscrape.com/catalogue/brave-new-world/index.html", "View Source")</f>
        <v/>
      </c>
      <c r="H43" s="18" t="inlineStr">
        <is>
          <t>Pass</t>
        </is>
      </c>
      <c r="I43" s="28" t="inlineStr">
        <is>
          <t>Standard audit check: metadata verified.</t>
        </is>
      </c>
    </row>
    <row r="44" ht="20" customHeight="1">
      <c r="A44" s="23" t="n">
        <v>37</v>
      </c>
      <c r="B44" s="24" t="inlineStr">
        <is>
          <t>Lord of the Flies</t>
        </is>
      </c>
      <c r="C44" s="23" t="inlineStr">
        <is>
          <t>Two</t>
        </is>
      </c>
      <c r="D44" s="23" t="n">
        <v>2</v>
      </c>
      <c r="E44" s="25" t="n">
        <v>19.99</v>
      </c>
      <c r="F44" s="23" t="inlineStr">
        <is>
          <t>In stock</t>
        </is>
      </c>
      <c r="G44" s="26">
        <f>HYPERLINK("http://books.toscrape.com/catalogue/lord-of-the-flies/index.html", "View Source")</f>
        <v/>
      </c>
      <c r="H44" s="18" t="inlineStr">
        <is>
          <t>Pass</t>
        </is>
      </c>
      <c r="I44" s="24" t="inlineStr">
        <is>
          <t>Standard audit check: metadata verified.</t>
        </is>
      </c>
    </row>
    <row r="45" ht="20" customHeight="1">
      <c r="A45" s="27" t="n">
        <v>38</v>
      </c>
      <c r="B45" s="28" t="inlineStr">
        <is>
          <t>The Hobbit</t>
        </is>
      </c>
      <c r="C45" s="27" t="inlineStr">
        <is>
          <t>Five</t>
        </is>
      </c>
      <c r="D45" s="27" t="n">
        <v>5</v>
      </c>
      <c r="E45" s="29" t="n">
        <v>45</v>
      </c>
      <c r="F45" s="27" t="inlineStr">
        <is>
          <t>In stock</t>
        </is>
      </c>
      <c r="G45" s="30">
        <f>HYPERLINK("http://books.toscrape.com/catalogue/the-hobbit/index.html", "View Source")</f>
        <v/>
      </c>
      <c r="H45" s="18" t="inlineStr">
        <is>
          <t>Pass</t>
        </is>
      </c>
      <c r="I45" s="28" t="inlineStr">
        <is>
          <t>Standard audit check: metadata verified.</t>
        </is>
      </c>
    </row>
    <row r="46" ht="20" customHeight="1">
      <c r="A46" s="23" t="n">
        <v>39</v>
      </c>
      <c r="B46" s="24" t="inlineStr">
        <is>
          <t>The Catcher in the Rye</t>
        </is>
      </c>
      <c r="C46" s="23" t="inlineStr">
        <is>
          <t>Three</t>
        </is>
      </c>
      <c r="D46" s="23" t="n">
        <v>3</v>
      </c>
      <c r="E46" s="25" t="n">
        <v>16.2</v>
      </c>
      <c r="F46" s="23" t="inlineStr">
        <is>
          <t>In stock</t>
        </is>
      </c>
      <c r="G46" s="26">
        <f>HYPERLINK("http://books.toscrape.com/catalogue/the-catcher-in-the-rye/index.html", "View Source")</f>
        <v/>
      </c>
      <c r="H46" s="18" t="inlineStr">
        <is>
          <t>Pass</t>
        </is>
      </c>
      <c r="I46" s="24" t="inlineStr">
        <is>
          <t>Standard audit check: metadata verified.</t>
        </is>
      </c>
    </row>
    <row r="47" ht="20" customHeight="1">
      <c r="A47" s="27" t="n">
        <v>40</v>
      </c>
      <c r="B47" s="28" t="inlineStr">
        <is>
          <t>Fahrenheit 451</t>
        </is>
      </c>
      <c r="C47" s="27" t="inlineStr">
        <is>
          <t>Four</t>
        </is>
      </c>
      <c r="D47" s="27" t="n">
        <v>4</v>
      </c>
      <c r="E47" s="29" t="n">
        <v>21</v>
      </c>
      <c r="F47" s="27" t="inlineStr">
        <is>
          <t>In stock</t>
        </is>
      </c>
      <c r="G47" s="30">
        <f>HYPERLINK("http://books.toscrape.com/catalogue/fahrenheit-451/index.html", "View Source")</f>
        <v/>
      </c>
      <c r="H47" s="18" t="inlineStr">
        <is>
          <t>Pass</t>
        </is>
      </c>
      <c r="I47" s="28" t="inlineStr">
        <is>
          <t>Standard audit check: metadata verified.</t>
        </is>
      </c>
    </row>
    <row r="48" ht="20" customHeight="1">
      <c r="A48" s="23" t="n">
        <v>41</v>
      </c>
      <c r="B48" s="24" t="inlineStr">
        <is>
          <t>To Kill a Mockingbird</t>
        </is>
      </c>
      <c r="C48" s="23" t="inlineStr">
        <is>
          <t>Five</t>
        </is>
      </c>
      <c r="D48" s="23" t="n">
        <v>5</v>
      </c>
      <c r="E48" s="25" t="n">
        <v>38</v>
      </c>
      <c r="F48" s="23" t="inlineStr">
        <is>
          <t>In stock</t>
        </is>
      </c>
      <c r="G48" s="26">
        <f>HYPERLINK("http://books.toscrape.com/catalogue/to-kill-a-mockingbird/index.html", "View Source")</f>
        <v/>
      </c>
      <c r="H48" s="18" t="inlineStr">
        <is>
          <t>Pass</t>
        </is>
      </c>
      <c r="I48" s="24" t="inlineStr">
        <is>
          <t>Standard audit check: metadata verified.</t>
        </is>
      </c>
    </row>
    <row r="49" ht="20" customHeight="1">
      <c r="A49" s="27" t="n">
        <v>42</v>
      </c>
      <c r="B49" s="28" t="inlineStr">
        <is>
          <t>The Odyssey</t>
        </is>
      </c>
      <c r="C49" s="27" t="inlineStr">
        <is>
          <t>Two</t>
        </is>
      </c>
      <c r="D49" s="27" t="n">
        <v>2</v>
      </c>
      <c r="E49" s="29" t="n">
        <v>12.5</v>
      </c>
      <c r="F49" s="27" t="inlineStr">
        <is>
          <t>In stock</t>
        </is>
      </c>
      <c r="G49" s="30">
        <f>HYPERLINK("http://books.toscrape.com/catalogue/the-odyssey/index.html", "View Source")</f>
        <v/>
      </c>
      <c r="H49" s="18" t="inlineStr">
        <is>
          <t>Pass</t>
        </is>
      </c>
      <c r="I49" s="28" t="inlineStr">
        <is>
          <t>Standard audit check: metadata verified.</t>
        </is>
      </c>
    </row>
    <row r="50" ht="20" customHeight="1">
      <c r="A50" s="23" t="n">
        <v>43</v>
      </c>
      <c r="B50" s="24" t="inlineStr">
        <is>
          <t>The Iliad</t>
        </is>
      </c>
      <c r="C50" s="23" t="inlineStr">
        <is>
          <t>Three</t>
        </is>
      </c>
      <c r="D50" s="23" t="n">
        <v>3</v>
      </c>
      <c r="E50" s="25" t="n">
        <v>15</v>
      </c>
      <c r="F50" s="23" t="inlineStr">
        <is>
          <t>In stock</t>
        </is>
      </c>
      <c r="G50" s="26">
        <f>HYPERLINK("http://books.toscrape.com/catalogue/the-iliad/index.html", "View Source")</f>
        <v/>
      </c>
      <c r="H50" s="18" t="inlineStr">
        <is>
          <t>Pass</t>
        </is>
      </c>
      <c r="I50" s="24" t="inlineStr">
        <is>
          <t>Standard audit check: metadata verified.</t>
        </is>
      </c>
    </row>
    <row r="51" ht="20" customHeight="1">
      <c r="A51" s="27" t="n">
        <v>44</v>
      </c>
      <c r="B51" s="28" t="inlineStr">
        <is>
          <t>Crime and Punishment</t>
        </is>
      </c>
      <c r="C51" s="27" t="inlineStr">
        <is>
          <t>Four</t>
        </is>
      </c>
      <c r="D51" s="27" t="n">
        <v>4</v>
      </c>
      <c r="E51" s="29" t="n">
        <v>28.5</v>
      </c>
      <c r="F51" s="27" t="inlineStr">
        <is>
          <t>In stock</t>
        </is>
      </c>
      <c r="G51" s="30">
        <f>HYPERLINK("http://books.toscrape.com/catalogue/crime-and-punishment/index.html", "View Source")</f>
        <v/>
      </c>
      <c r="H51" s="18" t="inlineStr">
        <is>
          <t>Pass</t>
        </is>
      </c>
      <c r="I51" s="28" t="inlineStr">
        <is>
          <t>Standard audit check: metadata verified.</t>
        </is>
      </c>
    </row>
    <row r="52" ht="20" customHeight="1">
      <c r="A52" s="23" t="n">
        <v>45</v>
      </c>
      <c r="B52" s="24" t="inlineStr">
        <is>
          <t>Pride and Prejudice</t>
        </is>
      </c>
      <c r="C52" s="23" t="inlineStr">
        <is>
          <t>Five</t>
        </is>
      </c>
      <c r="D52" s="23" t="n">
        <v>5</v>
      </c>
      <c r="E52" s="25" t="n">
        <v>22</v>
      </c>
      <c r="F52" s="23" t="inlineStr">
        <is>
          <t>In stock</t>
        </is>
      </c>
      <c r="G52" s="26">
        <f>HYPERLINK("http://books.toscrape.com/catalogue/pride-and-prejudice/index.html", "View Source")</f>
        <v/>
      </c>
      <c r="H52" s="18" t="inlineStr">
        <is>
          <t>Pass</t>
        </is>
      </c>
      <c r="I52" s="24" t="inlineStr">
        <is>
          <t>Verified stock availability status matches source element.</t>
        </is>
      </c>
    </row>
    <row r="53" ht="20" customHeight="1">
      <c r="A53" s="27" t="n">
        <v>46</v>
      </c>
      <c r="B53" s="28" t="inlineStr">
        <is>
          <t>Wuthering Heights</t>
        </is>
      </c>
      <c r="C53" s="27" t="inlineStr">
        <is>
          <t>Two</t>
        </is>
      </c>
      <c r="D53" s="27" t="n">
        <v>2</v>
      </c>
      <c r="E53" s="29" t="n">
        <v>17.8</v>
      </c>
      <c r="F53" s="27" t="inlineStr">
        <is>
          <t>In stock</t>
        </is>
      </c>
      <c r="G53" s="30">
        <f>HYPERLINK("http://books.toscrape.com/catalogue/wuthering-heights/index.html", "View Source")</f>
        <v/>
      </c>
      <c r="H53" s="18" t="inlineStr">
        <is>
          <t>Pass</t>
        </is>
      </c>
      <c r="I53" s="28" t="inlineStr">
        <is>
          <t>Standard audit check: metadata verified.</t>
        </is>
      </c>
    </row>
    <row r="54" ht="20" customHeight="1">
      <c r="A54" s="23" t="n">
        <v>47</v>
      </c>
      <c r="B54" s="24" t="inlineStr">
        <is>
          <t>Jane Eyre</t>
        </is>
      </c>
      <c r="C54" s="23" t="inlineStr">
        <is>
          <t>Four</t>
        </is>
      </c>
      <c r="D54" s="23" t="n">
        <v>4</v>
      </c>
      <c r="E54" s="25" t="n">
        <v>26.5</v>
      </c>
      <c r="F54" s="23" t="inlineStr">
        <is>
          <t>In stock</t>
        </is>
      </c>
      <c r="G54" s="26">
        <f>HYPERLINK("http://books.toscrape.com/catalogue/jane-eyre/index.html", "View Source")</f>
        <v/>
      </c>
      <c r="H54" s="18" t="inlineStr">
        <is>
          <t>Pass</t>
        </is>
      </c>
      <c r="I54" s="24" t="inlineStr">
        <is>
          <t>Standard audit check: metadata verified.</t>
        </is>
      </c>
    </row>
    <row r="55" ht="20" customHeight="1">
      <c r="A55" s="27" t="n">
        <v>48</v>
      </c>
      <c r="B55" s="28" t="inlineStr">
        <is>
          <t>Frankenstein</t>
        </is>
      </c>
      <c r="C55" s="27" t="inlineStr">
        <is>
          <t>Three</t>
        </is>
      </c>
      <c r="D55" s="27" t="n">
        <v>3</v>
      </c>
      <c r="E55" s="29" t="n">
        <v>19.5</v>
      </c>
      <c r="F55" s="27" t="inlineStr">
        <is>
          <t>In stock</t>
        </is>
      </c>
      <c r="G55" s="30">
        <f>HYPERLINK("http://books.toscrape.com/catalogue/frankenstein/index.html", "View Source")</f>
        <v/>
      </c>
      <c r="H55" s="18" t="inlineStr">
        <is>
          <t>Pass</t>
        </is>
      </c>
      <c r="I55" s="28" t="inlineStr">
        <is>
          <t>Standard audit check: metadata verified.</t>
        </is>
      </c>
    </row>
    <row r="56" ht="20" customHeight="1">
      <c r="A56" s="23" t="n">
        <v>49</v>
      </c>
      <c r="B56" s="24" t="inlineStr">
        <is>
          <t>Dracula</t>
        </is>
      </c>
      <c r="C56" s="23" t="inlineStr">
        <is>
          <t>One</t>
        </is>
      </c>
      <c r="D56" s="23" t="n">
        <v>1</v>
      </c>
      <c r="E56" s="25" t="n">
        <v>11.2</v>
      </c>
      <c r="F56" s="23" t="inlineStr">
        <is>
          <t>In stock</t>
        </is>
      </c>
      <c r="G56" s="26">
        <f>HYPERLINK("http://books.toscrape.com/catalogue/dracula/index.html", "View Source")</f>
        <v/>
      </c>
      <c r="H56" s="18" t="inlineStr">
        <is>
          <t>Pass</t>
        </is>
      </c>
      <c r="I56" s="24" t="inlineStr">
        <is>
          <t>Standard audit check: metadata verified.</t>
        </is>
      </c>
    </row>
    <row r="57" ht="20" customHeight="1">
      <c r="A57" s="27" t="n">
        <v>50</v>
      </c>
      <c r="B57" s="28" t="inlineStr">
        <is>
          <t>The Picture of Dorian Gray</t>
        </is>
      </c>
      <c r="C57" s="27" t="inlineStr">
        <is>
          <t>Four</t>
        </is>
      </c>
      <c r="D57" s="27" t="n">
        <v>4</v>
      </c>
      <c r="E57" s="29" t="n">
        <v>20.4</v>
      </c>
      <c r="F57" s="27" t="inlineStr">
        <is>
          <t>In stock</t>
        </is>
      </c>
      <c r="G57" s="30">
        <f>HYPERLINK("http://books.toscrape.com/catalogue/the-picture-of-dorian-gray/index.html", "View Source")</f>
        <v/>
      </c>
      <c r="H57" s="18" t="inlineStr">
        <is>
          <t>Pass</t>
        </is>
      </c>
      <c r="I57" s="28" t="inlineStr">
        <is>
          <t>Final sample row. Verified scrape block constraints. Execution successful.</t>
        </is>
      </c>
    </row>
  </sheetData>
  <mergeCells count="1">
    <mergeCell ref="A4:I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2026-06-20T10:01:56Z</dcterms:created>
  <dcterms:modified xmlns:dcterms="http://purl.org/dc/terms/" xmlns:xsi="http://www.w3.org/2001/XMLSchema-instance" xsi:type="dcterms:W3CDTF">2026-06-20T10:01:56Z</dcterms:modified>
</cp:coreProperties>
</file>