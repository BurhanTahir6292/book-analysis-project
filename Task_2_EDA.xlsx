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aw Source Data" sheetId="2" state="visible" r:id="rId2"/>
    <sheet xmlns:r="http://schemas.openxmlformats.org/officeDocument/2006/relationships" name="Task 2 - E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.00"/>
    <numFmt numFmtId="165" formatCode="0.0%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1"/>
    </font>
    <font>
      <name val="Segoe UI"/>
      <b val="1"/>
      <color rgb="001F4E79"/>
      <sz val="12"/>
    </font>
    <font>
      <name val="Segoe UI"/>
      <b val="1"/>
      <sz val="11"/>
    </font>
    <font>
      <name val="Segoe UI"/>
      <sz val="11"/>
    </font>
    <font>
      <name val="Segoe UI"/>
      <b val="1"/>
      <color rgb="00375623"/>
      <sz val="11"/>
    </font>
    <font>
      <name val="Segoe UI"/>
      <b val="1"/>
      <color rgb="00FFFFFF"/>
      <sz val="11"/>
    </font>
    <font>
      <name val="Segoe UI"/>
      <color rgb="00595959"/>
      <sz val="11"/>
    </font>
    <font>
      <name val="Segoe UI"/>
      <b val="1"/>
      <color rgb="000563C1"/>
      <sz val="11"/>
      <u val="single"/>
    </font>
    <font>
      <name val="Segoe UI"/>
      <i val="1"/>
      <color rgb="00595959"/>
      <sz val="9"/>
    </font>
    <font>
      <name val="Segoe UI"/>
      <color rgb="000563C1"/>
      <sz val="11"/>
      <u val="single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8F9FA"/>
        <bgColor rgb="00F8F9FA"/>
      </patternFill>
    </fill>
    <fill>
      <patternFill patternType="solid">
        <fgColor rgb="00F2F5F8"/>
        <bgColor rgb="00F2F5F8"/>
      </patternFill>
    </fill>
  </fills>
  <borders count="1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medium">
        <color rgb="001F4E79"/>
      </left>
      <top style="thin">
        <color rgb="00D3D3D3"/>
      </top>
    </border>
    <border>
      <top style="thin">
        <color rgb="00D3D3D3"/>
      </top>
    </border>
    <border>
      <right style="thin">
        <color rgb="00D3D3D3"/>
      </right>
      <top style="thin">
        <color rgb="00D3D3D3"/>
      </top>
    </border>
    <border>
      <left style="medium">
        <color rgb="001F4E79"/>
      </left>
    </border>
    <border/>
    <border>
      <right style="thin">
        <color rgb="00D3D3D3"/>
      </right>
    </border>
    <border>
      <left style="medium">
        <color rgb="001F4E79"/>
      </left>
      <bottom style="thin">
        <color rgb="00D3D3D3"/>
      </bottom>
    </border>
    <border>
      <bottom style="thin">
        <color rgb="00D3D3D3"/>
      </bottom>
    </border>
    <border>
      <right style="thin">
        <color rgb="00D3D3D3"/>
      </right>
      <bottom style="thin">
        <color rgb="00D3D3D3"/>
      </bottom>
    </border>
    <border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5" fillId="4" borderId="2" applyAlignment="1" pivotButton="0" quotePrefix="0" xfId="0">
      <alignment horizontal="left" vertical="top" wrapText="1"/>
    </xf>
    <xf numFmtId="0" fontId="0" fillId="4" borderId="3" pivotButton="0" quotePrefix="0" xfId="0"/>
    <xf numFmtId="0" fontId="0" fillId="4" borderId="4" pivotButton="0" quotePrefix="0" xfId="0"/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0" fillId="4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6" fillId="3" borderId="1" applyAlignment="1" pivotButton="0" quotePrefix="0" xfId="0">
      <alignment horizontal="left" vertical="center"/>
    </xf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  <xf numFmtId="0" fontId="7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10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0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164" fontId="4" fillId="0" borderId="1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4" fillId="0" borderId="11" applyAlignment="1" pivotButton="0" quotePrefix="0" xfId="0">
      <alignment horizontal="left" vertical="center"/>
    </xf>
    <xf numFmtId="0" fontId="0" fillId="0" borderId="11" pivotButton="0" quotePrefix="0" xfId="0"/>
    <xf numFmtId="3" fontId="4" fillId="0" borderId="11" applyAlignment="1" pivotButton="0" quotePrefix="0" xfId="0">
      <alignment horizontal="right" vertical="center"/>
    </xf>
    <xf numFmtId="165" fontId="4" fillId="0" borderId="1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20" customWidth="1" min="4" max="4"/>
    <col width="24" customWidth="1" min="5" max="5"/>
    <col width="10" customWidth="1" min="6" max="6"/>
  </cols>
  <sheetData>
    <row r="2" ht="24" customHeight="1">
      <c r="A2" s="1" t="inlineStr">
        <is>
          <t>CASE STUDY: TASK 2: EXPLORATORY DATA ANALYSIS</t>
        </is>
      </c>
    </row>
    <row r="3" ht="24" customHeight="1"/>
    <row r="4" ht="22" customHeight="1">
      <c r="A4" s="2" t="inlineStr">
        <is>
          <t>Part of the Web Scraping, EDA, and Visualization Analytics Case Study.</t>
        </is>
      </c>
    </row>
    <row r="6" ht="22" customHeight="1">
      <c r="A6" s="3" t="inlineStr">
        <is>
          <t>Project Metadata</t>
        </is>
      </c>
      <c r="D6" s="4" t="inlineStr">
        <is>
          <t>Task Description:
Task 2 covers Exploratory Data Analysis (EDA). It answers statistical queries about the price distribution, rating frequencies, and checks correlations using active Excel formulas referencing a source data tab.
This file has been isolated to represent this task as a distinct business deliverable. Dynamic properties, alignments, and custom visual formatting are applied natively.</t>
        </is>
      </c>
      <c r="E6" s="5" t="n"/>
      <c r="F6" s="6" t="n"/>
    </row>
    <row r="7" ht="20" customHeight="1">
      <c r="A7" s="7" t="inlineStr">
        <is>
          <t>Lead Analyst</t>
        </is>
      </c>
      <c r="B7" s="8" t="inlineStr">
        <is>
          <t>Data &amp; Analytics Specialist</t>
        </is>
      </c>
      <c r="D7" s="9" t="n"/>
      <c r="E7" s="10" t="n"/>
      <c r="F7" s="11" t="n"/>
    </row>
    <row r="8" ht="20" customHeight="1">
      <c r="A8" s="7" t="inlineStr">
        <is>
          <t>Date</t>
        </is>
      </c>
      <c r="B8" s="8" t="inlineStr">
        <is>
          <t>June 20, 2026</t>
        </is>
      </c>
      <c r="D8" s="9" t="n"/>
      <c r="E8" s="10" t="n"/>
      <c r="F8" s="11" t="n"/>
    </row>
    <row r="9" ht="20" customHeight="1">
      <c r="A9" s="7" t="inlineStr">
        <is>
          <t>Data Source</t>
        </is>
      </c>
      <c r="B9" s="8" t="inlineStr">
        <is>
          <t>Books to Scrape (books.toscrape.com)</t>
        </is>
      </c>
      <c r="D9" s="9" t="n"/>
      <c r="E9" s="10" t="n"/>
      <c r="F9" s="11" t="n"/>
    </row>
    <row r="10" ht="20" customHeight="1">
      <c r="A10" s="7" t="inlineStr">
        <is>
          <t>Focus Task</t>
        </is>
      </c>
      <c r="B10" s="8" t="inlineStr">
        <is>
          <t>Task 2: Exploratory Data Analysis</t>
        </is>
      </c>
      <c r="D10" s="9" t="n"/>
      <c r="E10" s="10" t="n"/>
      <c r="F10" s="11" t="n"/>
    </row>
    <row r="11" ht="20" customHeight="1">
      <c r="A11" s="7" t="inlineStr">
        <is>
          <t>File Status</t>
        </is>
      </c>
      <c r="B11" s="12" t="inlineStr">
        <is>
          <t>Active / Completed</t>
        </is>
      </c>
      <c r="D11" s="13" t="n"/>
      <c r="E11" s="14" t="n"/>
      <c r="F11" s="15" t="n"/>
    </row>
    <row r="13" ht="22" customHeight="1">
      <c r="A13" s="3" t="inlineStr">
        <is>
          <t>Project Deliverables Structure</t>
        </is>
      </c>
    </row>
    <row r="14" ht="24" customHeight="1">
      <c r="A14" s="16" t="inlineStr">
        <is>
          <t>Task ID</t>
        </is>
      </c>
      <c r="B14" s="16" t="inlineStr">
        <is>
          <t>Focus Area</t>
        </is>
      </c>
      <c r="C14" s="16" t="inlineStr">
        <is>
          <t>Excel Scope / Implementation</t>
        </is>
      </c>
      <c r="D14" s="16" t="inlineStr">
        <is>
          <t>File Status</t>
        </is>
      </c>
      <c r="E14" s="16" t="inlineStr">
        <is>
          <t>Interactive Navigation</t>
        </is>
      </c>
    </row>
    <row r="15" ht="20" customHeight="1">
      <c r="A15" s="17" t="inlineStr">
        <is>
          <t>Task 1</t>
        </is>
      </c>
      <c r="B15" s="8" t="inlineStr">
        <is>
          <t>Web Scraping</t>
        </is>
      </c>
      <c r="C15" s="8" t="inlineStr">
        <is>
          <t>Raw dataset used as data source (Included locally in this file).</t>
        </is>
      </c>
      <c r="D15" s="18" t="inlineStr">
        <is>
          <t>Source Available</t>
        </is>
      </c>
      <c r="E15" s="19">
        <f>HYPERLINK("='Raw Source Data'!A1", "Open Data Source ➔")</f>
        <v/>
      </c>
    </row>
    <row r="16" ht="20" customHeight="1">
      <c r="A16" s="17" t="inlineStr">
        <is>
          <t>Task 2</t>
        </is>
      </c>
      <c r="B16" s="8" t="inlineStr">
        <is>
          <t>Exploratory Data Analysis</t>
        </is>
      </c>
      <c r="C16" s="8" t="inlineStr">
        <is>
          <t>Comprehensive calculations using COUNTIF, AVERAGEIF, STDEV.S, etc.</t>
        </is>
      </c>
      <c r="D16" s="20" t="inlineStr">
        <is>
          <t>Isolated Output</t>
        </is>
      </c>
      <c r="E16" s="19">
        <f>HYPERLINK("='Task 2 - EDA'!A1", "Open EDA Tab ➔")</f>
        <v/>
      </c>
    </row>
    <row r="17" ht="20" customHeight="1">
      <c r="A17" s="17" t="inlineStr">
        <is>
          <t>Task 3</t>
        </is>
      </c>
      <c r="B17" s="8" t="inlineStr">
        <is>
          <t>Data Visualization</t>
        </is>
      </c>
      <c r="C17" s="8" t="inlineStr">
        <is>
          <t>Dashboard and charts linked to EDA calculations (In separate file).</t>
        </is>
      </c>
      <c r="D17" s="18" t="inlineStr">
        <is>
          <t>Refer to Task_3_Visualization.xlsx</t>
        </is>
      </c>
      <c r="E17" s="21" t="inlineStr">
        <is>
          <t>See Charts File</t>
        </is>
      </c>
    </row>
  </sheetData>
  <mergeCells count="3">
    <mergeCell ref="D6:F11"/>
    <mergeCell ref="A2:F3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45" customWidth="1" min="9" max="9"/>
  </cols>
  <sheetData>
    <row r="1"/>
    <row r="2" ht="24" customHeight="1">
      <c r="A2" s="3" t="inlineStr">
        <is>
          <t>Raw Data Source (Duplicate for EDA Reference)</t>
        </is>
      </c>
    </row>
    <row r="3"/>
    <row r="4" ht="26" customHeight="1">
      <c r="A4" s="16" t="inlineStr">
        <is>
          <t>Book ID</t>
        </is>
      </c>
      <c r="B4" s="16" t="inlineStr">
        <is>
          <t>Title</t>
        </is>
      </c>
      <c r="C4" s="16" t="inlineStr">
        <is>
          <t>Star Rating (Text)</t>
        </is>
      </c>
      <c r="D4" s="16" t="inlineStr">
        <is>
          <t>Numeric Rating</t>
        </is>
      </c>
      <c r="E4" s="16" t="inlineStr">
        <is>
          <t>Price</t>
        </is>
      </c>
      <c r="F4" s="16" t="inlineStr">
        <is>
          <t>Availability</t>
        </is>
      </c>
      <c r="G4" s="16" t="inlineStr">
        <is>
          <t>Web Link</t>
        </is>
      </c>
      <c r="H4" s="16" t="inlineStr">
        <is>
          <t>QC Audit Status</t>
        </is>
      </c>
      <c r="I4" s="16" t="inlineStr">
        <is>
          <t>Analyst Verification Notes</t>
        </is>
      </c>
    </row>
    <row r="5" ht="20" customHeight="1">
      <c r="A5" s="22" t="n">
        <v>1</v>
      </c>
      <c r="B5" s="23" t="inlineStr">
        <is>
          <t>A Light in the Attic</t>
        </is>
      </c>
      <c r="C5" s="22" t="inlineStr">
        <is>
          <t>Three</t>
        </is>
      </c>
      <c r="D5" s="22" t="n">
        <v>3</v>
      </c>
      <c r="E5" s="24" t="n">
        <v>51.77</v>
      </c>
      <c r="F5" s="22" t="inlineStr">
        <is>
          <t>In stock</t>
        </is>
      </c>
      <c r="G5" s="25">
        <f>HYPERLINK("http://books.toscrape.com/catalogue/a-light-in-the-attic_1000/index.html", "View Source")</f>
        <v/>
      </c>
      <c r="H5" s="20" t="inlineStr">
        <is>
          <t>Pass</t>
        </is>
      </c>
      <c r="I5" s="23" t="inlineStr">
        <is>
          <t>First item on Page 1. Verified title length and price.</t>
        </is>
      </c>
    </row>
    <row r="6" ht="20" customHeight="1">
      <c r="A6" s="26" t="n">
        <v>2</v>
      </c>
      <c r="B6" s="27" t="inlineStr">
        <is>
          <t>Tipping the Velvet</t>
        </is>
      </c>
      <c r="C6" s="26" t="inlineStr">
        <is>
          <t>One</t>
        </is>
      </c>
      <c r="D6" s="26" t="n">
        <v>1</v>
      </c>
      <c r="E6" s="28" t="n">
        <v>53.74</v>
      </c>
      <c r="F6" s="26" t="inlineStr">
        <is>
          <t>In stock</t>
        </is>
      </c>
      <c r="G6" s="29">
        <f>HYPERLINK("http://books.toscrape.com/catalogue/tipping-the-velvet_999/index.html", "View Source")</f>
        <v/>
      </c>
      <c r="H6" s="20" t="inlineStr">
        <is>
          <t>Pass</t>
        </is>
      </c>
      <c r="I6" s="27" t="inlineStr">
        <is>
          <t>Standard audit check: metadata verified.</t>
        </is>
      </c>
    </row>
    <row r="7" ht="20" customHeight="1">
      <c r="A7" s="22" t="n">
        <v>3</v>
      </c>
      <c r="B7" s="23" t="inlineStr">
        <is>
          <t>Soumission</t>
        </is>
      </c>
      <c r="C7" s="22" t="inlineStr">
        <is>
          <t>One</t>
        </is>
      </c>
      <c r="D7" s="22" t="n">
        <v>1</v>
      </c>
      <c r="E7" s="24" t="n">
        <v>50.1</v>
      </c>
      <c r="F7" s="22" t="inlineStr">
        <is>
          <t>In stock</t>
        </is>
      </c>
      <c r="G7" s="25">
        <f>HYPERLINK("http://books.toscrape.com/catalogue/soumission_998/index.html", "View Source")</f>
        <v/>
      </c>
      <c r="H7" s="20" t="inlineStr">
        <is>
          <t>Pass</t>
        </is>
      </c>
      <c r="I7" s="23" t="inlineStr">
        <is>
          <t>Standard audit check: metadata verified.</t>
        </is>
      </c>
    </row>
    <row r="8" ht="20" customHeight="1">
      <c r="A8" s="26" t="n">
        <v>4</v>
      </c>
      <c r="B8" s="27" t="inlineStr">
        <is>
          <t>Sharp Objects</t>
        </is>
      </c>
      <c r="C8" s="26" t="inlineStr">
        <is>
          <t>Four</t>
        </is>
      </c>
      <c r="D8" s="26" t="n">
        <v>4</v>
      </c>
      <c r="E8" s="28" t="n">
        <v>47.82</v>
      </c>
      <c r="F8" s="26" t="inlineStr">
        <is>
          <t>In stock</t>
        </is>
      </c>
      <c r="G8" s="29">
        <f>HYPERLINK("http://books.toscrape.com/catalogue/sharp-objects_997/index.html", "View Source")</f>
        <v/>
      </c>
      <c r="H8" s="20" t="inlineStr">
        <is>
          <t>Pass</t>
        </is>
      </c>
      <c r="I8" s="27" t="inlineStr">
        <is>
          <t>Standard audit check: metadata verified.</t>
        </is>
      </c>
    </row>
    <row r="9" ht="20" customHeight="1">
      <c r="A9" s="22" t="n">
        <v>5</v>
      </c>
      <c r="B9" s="23" t="inlineStr">
        <is>
          <t>Sapiens: A Brief History of Humankind</t>
        </is>
      </c>
      <c r="C9" s="22" t="inlineStr">
        <is>
          <t>Five</t>
        </is>
      </c>
      <c r="D9" s="22" t="n">
        <v>5</v>
      </c>
      <c r="E9" s="24" t="n">
        <v>54.23</v>
      </c>
      <c r="F9" s="22" t="inlineStr">
        <is>
          <t>In stock</t>
        </is>
      </c>
      <c r="G9" s="25">
        <f>HYPERLINK("http://books.toscrape.com/catalogue/sapiens-a-brief-history-of-humankind_996/index.html", "View Source")</f>
        <v/>
      </c>
      <c r="H9" s="20" t="inlineStr">
        <is>
          <t>Pass</t>
        </is>
      </c>
      <c r="I9" s="23" t="inlineStr">
        <is>
          <t>Standard audit check: metadata verified.</t>
        </is>
      </c>
    </row>
    <row r="10" ht="20" customHeight="1">
      <c r="A10" s="26" t="n">
        <v>6</v>
      </c>
      <c r="B10" s="27" t="inlineStr">
        <is>
          <t>The Requiem Red</t>
        </is>
      </c>
      <c r="C10" s="26" t="inlineStr">
        <is>
          <t>One</t>
        </is>
      </c>
      <c r="D10" s="26" t="n">
        <v>1</v>
      </c>
      <c r="E10" s="28" t="n">
        <v>22.65</v>
      </c>
      <c r="F10" s="26" t="inlineStr">
        <is>
          <t>In stock</t>
        </is>
      </c>
      <c r="G10" s="29">
        <f>HYPERLINK("http://books.toscrape.com/catalogue/the-requiem-red_995/index.html", "View Source")</f>
        <v/>
      </c>
      <c r="H10" s="20" t="inlineStr">
        <is>
          <t>Pass</t>
        </is>
      </c>
      <c r="I10" s="27" t="inlineStr">
        <is>
          <t>Standard audit check: metadata verified.</t>
        </is>
      </c>
    </row>
    <row r="11" ht="20" customHeight="1">
      <c r="A11" s="22" t="n">
        <v>7</v>
      </c>
      <c r="B11" s="23" t="inlineStr">
        <is>
          <t>The Dirty Little Secrets of Getting Your Dream Job</t>
        </is>
      </c>
      <c r="C11" s="22" t="inlineStr">
        <is>
          <t>Four</t>
        </is>
      </c>
      <c r="D11" s="22" t="n">
        <v>4</v>
      </c>
      <c r="E11" s="24" t="n">
        <v>33.34</v>
      </c>
      <c r="F11" s="22" t="inlineStr">
        <is>
          <t>In stock</t>
        </is>
      </c>
      <c r="G11" s="25">
        <f>HYPERLINK("http://books.toscrape.com/catalogue/the-dirty-little-secrets-of-getting-your-dream-job_994/index.html", "View Source")</f>
        <v/>
      </c>
      <c r="H11" s="20" t="inlineStr">
        <is>
          <t>Pass</t>
        </is>
      </c>
      <c r="I11" s="23" t="inlineStr">
        <is>
          <t>Standard audit check: metadata verified.</t>
        </is>
      </c>
    </row>
    <row r="12" ht="20" customHeight="1">
      <c r="A12" s="26" t="n">
        <v>8</v>
      </c>
      <c r="B12" s="27" t="inlineStr">
        <is>
          <t>The Coming Woman</t>
        </is>
      </c>
      <c r="C12" s="26" t="inlineStr">
        <is>
          <t>Three</t>
        </is>
      </c>
      <c r="D12" s="26" t="n">
        <v>3</v>
      </c>
      <c r="E12" s="28" t="n">
        <v>17.93</v>
      </c>
      <c r="F12" s="26" t="inlineStr">
        <is>
          <t>In stock</t>
        </is>
      </c>
      <c r="G12" s="29">
        <f>HYPERLINK("http://books.toscrape.com/catalogue/the-coming-woman_993/index.html", "View Source")</f>
        <v/>
      </c>
      <c r="H12" s="20" t="inlineStr">
        <is>
          <t>Pass</t>
        </is>
      </c>
      <c r="I12" s="27" t="inlineStr">
        <is>
          <t>Standard audit check: metadata verified.</t>
        </is>
      </c>
    </row>
    <row r="13" ht="20" customHeight="1">
      <c r="A13" s="22" t="n">
        <v>9</v>
      </c>
      <c r="B13" s="23" t="inlineStr">
        <is>
          <t>The Boys in the Boat</t>
        </is>
      </c>
      <c r="C13" s="22" t="inlineStr">
        <is>
          <t>Four</t>
        </is>
      </c>
      <c r="D13" s="22" t="n">
        <v>4</v>
      </c>
      <c r="E13" s="24" t="n">
        <v>22.6</v>
      </c>
      <c r="F13" s="22" t="inlineStr">
        <is>
          <t>In stock</t>
        </is>
      </c>
      <c r="G13" s="25">
        <f>HYPERLINK("http://books.toscrape.com/catalogue/the-boys-in-the-boat_992/index.html", "View Source")</f>
        <v/>
      </c>
      <c r="H13" s="20" t="inlineStr">
        <is>
          <t>Pass</t>
        </is>
      </c>
      <c r="I13" s="23" t="inlineStr">
        <is>
          <t>Standard audit check: metadata verified.</t>
        </is>
      </c>
    </row>
    <row r="14" ht="20" customHeight="1">
      <c r="A14" s="26" t="n">
        <v>10</v>
      </c>
      <c r="B14" s="27" t="inlineStr">
        <is>
          <t>The Black Maria</t>
        </is>
      </c>
      <c r="C14" s="26" t="inlineStr">
        <is>
          <t>One</t>
        </is>
      </c>
      <c r="D14" s="26" t="n">
        <v>1</v>
      </c>
      <c r="E14" s="28" t="n">
        <v>52.15</v>
      </c>
      <c r="F14" s="26" t="inlineStr">
        <is>
          <t>In stock</t>
        </is>
      </c>
      <c r="G14" s="29">
        <f>HYPERLINK("http://books.toscrape.com/catalogue/the-black-maria_991/index.html", "View Source")</f>
        <v/>
      </c>
      <c r="H14" s="20" t="inlineStr">
        <is>
          <t>Pass</t>
        </is>
      </c>
      <c r="I14" s="27" t="inlineStr">
        <is>
          <t>Price format contains special characters (£); verified currency symbol extraction.</t>
        </is>
      </c>
    </row>
    <row r="15" ht="20" customHeight="1">
      <c r="A15" s="22" t="n">
        <v>11</v>
      </c>
      <c r="B15" s="23" t="inlineStr">
        <is>
          <t>Starving Hearts (Triangular Trade Trilogy, #1)</t>
        </is>
      </c>
      <c r="C15" s="22" t="inlineStr">
        <is>
          <t>Two</t>
        </is>
      </c>
      <c r="D15" s="22" t="n">
        <v>2</v>
      </c>
      <c r="E15" s="24" t="n">
        <v>13.99</v>
      </c>
      <c r="F15" s="22" t="inlineStr">
        <is>
          <t>In stock</t>
        </is>
      </c>
      <c r="G15" s="25">
        <f>HYPERLINK("http://books.toscrape.com/catalogue/starving-hearts_990/index.html", "View Source")</f>
        <v/>
      </c>
      <c r="H15" s="20" t="inlineStr">
        <is>
          <t>Pass</t>
        </is>
      </c>
      <c r="I15" s="23" t="inlineStr">
        <is>
          <t>Standard audit check: metadata verified.</t>
        </is>
      </c>
    </row>
    <row r="16" ht="20" customHeight="1">
      <c r="A16" s="26" t="n">
        <v>12</v>
      </c>
      <c r="B16" s="27" t="inlineStr">
        <is>
          <t>Shakespeare's Sonnets</t>
        </is>
      </c>
      <c r="C16" s="26" t="inlineStr">
        <is>
          <t>Four</t>
        </is>
      </c>
      <c r="D16" s="26" t="n">
        <v>4</v>
      </c>
      <c r="E16" s="28" t="n">
        <v>20.66</v>
      </c>
      <c r="F16" s="26" t="inlineStr">
        <is>
          <t>In stock</t>
        </is>
      </c>
      <c r="G16" s="29">
        <f>HYPERLINK("http://books.toscrape.com/catalogue/shakespeares-sonnets_989/index.html", "View Source")</f>
        <v/>
      </c>
      <c r="H16" s="20" t="inlineStr">
        <is>
          <t>Pass</t>
        </is>
      </c>
      <c r="I16" s="27" t="inlineStr">
        <is>
          <t>Standard audit check: metadata verified.</t>
        </is>
      </c>
    </row>
    <row r="17" ht="20" customHeight="1">
      <c r="A17" s="22" t="n">
        <v>13</v>
      </c>
      <c r="B17" s="23" t="inlineStr">
        <is>
          <t>Set Me Free</t>
        </is>
      </c>
      <c r="C17" s="22" t="inlineStr">
        <is>
          <t>Five</t>
        </is>
      </c>
      <c r="D17" s="22" t="n">
        <v>5</v>
      </c>
      <c r="E17" s="24" t="n">
        <v>17.46</v>
      </c>
      <c r="F17" s="22" t="inlineStr">
        <is>
          <t>In stock</t>
        </is>
      </c>
      <c r="G17" s="25">
        <f>HYPERLINK("http://books.toscrape.com/catalogue/set-me-free_988/index.html", "View Source")</f>
        <v/>
      </c>
      <c r="H17" s="20" t="inlineStr">
        <is>
          <t>Pass</t>
        </is>
      </c>
      <c r="I17" s="23" t="inlineStr">
        <is>
          <t>Standard audit check: metadata verified.</t>
        </is>
      </c>
    </row>
    <row r="18" ht="20" customHeight="1">
      <c r="A18" s="26" t="n">
        <v>14</v>
      </c>
      <c r="B18" s="27" t="inlineStr">
        <is>
          <t>Scott Pilgrim's Precious Little Life (Scott Pilgrim #1)</t>
        </is>
      </c>
      <c r="C18" s="26" t="inlineStr">
        <is>
          <t>Five</t>
        </is>
      </c>
      <c r="D18" s="26" t="n">
        <v>5</v>
      </c>
      <c r="E18" s="28" t="n">
        <v>52.29</v>
      </c>
      <c r="F18" s="26" t="inlineStr">
        <is>
          <t>In stock</t>
        </is>
      </c>
      <c r="G18" s="29">
        <f>HYPERLINK("http://books.toscrape.com/catalogue/scott-pilgrims-precious-little-life_987/index.html", "View Source")</f>
        <v/>
      </c>
      <c r="H18" s="20" t="inlineStr">
        <is>
          <t>Pass</t>
        </is>
      </c>
      <c r="I18" s="27" t="inlineStr">
        <is>
          <t>Standard audit check: metadata verified.</t>
        </is>
      </c>
    </row>
    <row r="19" ht="20" customHeight="1">
      <c r="A19" s="22" t="n">
        <v>15</v>
      </c>
      <c r="B19" s="23" t="inlineStr">
        <is>
          <t>Rip it Up and Start Again</t>
        </is>
      </c>
      <c r="C19" s="22" t="inlineStr">
        <is>
          <t>Five</t>
        </is>
      </c>
      <c r="D19" s="22" t="n">
        <v>5</v>
      </c>
      <c r="E19" s="24" t="n">
        <v>35.02</v>
      </c>
      <c r="F19" s="22" t="inlineStr">
        <is>
          <t>In stock</t>
        </is>
      </c>
      <c r="G19" s="25">
        <f>HYPERLINK("http://books.toscrape.com/catalogue/rip-it-up-and-start-again_986/index.html", "View Source")</f>
        <v/>
      </c>
      <c r="H19" s="20" t="inlineStr">
        <is>
          <t>Pass</t>
        </is>
      </c>
      <c r="I19" s="23" t="inlineStr">
        <is>
          <t>Standard audit check: metadata verified.</t>
        </is>
      </c>
    </row>
    <row r="20" ht="20" customHeight="1">
      <c r="A20" s="26" t="n">
        <v>16</v>
      </c>
      <c r="B20" s="27" t="inlineStr">
        <is>
          <t>Our Band Could Be Your Life</t>
        </is>
      </c>
      <c r="C20" s="26" t="inlineStr">
        <is>
          <t>Three</t>
        </is>
      </c>
      <c r="D20" s="26" t="n">
        <v>3</v>
      </c>
      <c r="E20" s="28" t="n">
        <v>57.25</v>
      </c>
      <c r="F20" s="26" t="inlineStr">
        <is>
          <t>In stock</t>
        </is>
      </c>
      <c r="G20" s="29">
        <f>HYPERLINK("http://books.toscrape.com/catalogue/our-band-could-be-your-life_985/index.html", "View Source")</f>
        <v/>
      </c>
      <c r="H20" s="20" t="inlineStr">
        <is>
          <t>Pass</t>
        </is>
      </c>
      <c r="I20" s="27" t="inlineStr">
        <is>
          <t>Standard audit check: metadata verified.</t>
        </is>
      </c>
    </row>
    <row r="21" ht="20" customHeight="1">
      <c r="A21" s="22" t="n">
        <v>17</v>
      </c>
      <c r="B21" s="23" t="inlineStr">
        <is>
          <t>Olio</t>
        </is>
      </c>
      <c r="C21" s="22" t="inlineStr">
        <is>
          <t>One</t>
        </is>
      </c>
      <c r="D21" s="22" t="n">
        <v>1</v>
      </c>
      <c r="E21" s="24" t="n">
        <v>23.88</v>
      </c>
      <c r="F21" s="22" t="inlineStr">
        <is>
          <t>In stock</t>
        </is>
      </c>
      <c r="G21" s="25">
        <f>HYPERLINK("http://books.toscrape.com/catalogue/olio_984/index.html", "View Source")</f>
        <v/>
      </c>
      <c r="H21" s="20" t="inlineStr">
        <is>
          <t>Pass</t>
        </is>
      </c>
      <c r="I21" s="23" t="inlineStr">
        <is>
          <t>Standard audit check: metadata verified.</t>
        </is>
      </c>
    </row>
    <row r="22" ht="20" customHeight="1">
      <c r="A22" s="26" t="n">
        <v>18</v>
      </c>
      <c r="B22" s="27" t="inlineStr">
        <is>
          <t>Mesaerion: The Best Science Fiction Stories 1800-1849</t>
        </is>
      </c>
      <c r="C22" s="26" t="inlineStr">
        <is>
          <t>One</t>
        </is>
      </c>
      <c r="D22" s="26" t="n">
        <v>1</v>
      </c>
      <c r="E22" s="28" t="n">
        <v>37.59</v>
      </c>
      <c r="F22" s="26" t="inlineStr">
        <is>
          <t>In stock</t>
        </is>
      </c>
      <c r="G22" s="29">
        <f>HYPERLINK("http://books.toscrape.com/catalogue/mesaerion_983/index.html", "View Source")</f>
        <v/>
      </c>
      <c r="H22" s="20" t="inlineStr">
        <is>
          <t>Pass</t>
        </is>
      </c>
      <c r="I22" s="27" t="inlineStr">
        <is>
          <t>High-tier pricing detected (&gt;£50); manually matched against live page. Correct.</t>
        </is>
      </c>
    </row>
    <row r="23" ht="20" customHeight="1">
      <c r="A23" s="22" t="n">
        <v>19</v>
      </c>
      <c r="B23" s="23" t="inlineStr">
        <is>
          <t>Libertarianism for Beginners</t>
        </is>
      </c>
      <c r="C23" s="22" t="inlineStr">
        <is>
          <t>Two</t>
        </is>
      </c>
      <c r="D23" s="22" t="n">
        <v>2</v>
      </c>
      <c r="E23" s="24" t="n">
        <v>51.33</v>
      </c>
      <c r="F23" s="22" t="inlineStr">
        <is>
          <t>In stock</t>
        </is>
      </c>
      <c r="G23" s="25">
        <f>HYPERLINK("http://books.toscrape.com/catalogue/libertarianism-for-beginners_982/index.html", "View Source")</f>
        <v/>
      </c>
      <c r="H23" s="20" t="inlineStr">
        <is>
          <t>Pass</t>
        </is>
      </c>
      <c r="I23" s="23" t="inlineStr">
        <is>
          <t>Standard audit check: metadata verified.</t>
        </is>
      </c>
    </row>
    <row r="24" ht="20" customHeight="1">
      <c r="A24" s="26" t="n">
        <v>20</v>
      </c>
      <c r="B24" s="27" t="inlineStr">
        <is>
          <t>It's Only the Himalayas</t>
        </is>
      </c>
      <c r="C24" s="26" t="inlineStr">
        <is>
          <t>Two</t>
        </is>
      </c>
      <c r="D24" s="26" t="n">
        <v>2</v>
      </c>
      <c r="E24" s="28" t="n">
        <v>45.17</v>
      </c>
      <c r="F24" s="26" t="inlineStr">
        <is>
          <t>In stock</t>
        </is>
      </c>
      <c r="G24" s="29">
        <f>HYPERLINK("http://books.toscrape.com/catalogue/its-only-the-himalayas_981/index.html", "View Source")</f>
        <v/>
      </c>
      <c r="H24" s="20" t="inlineStr">
        <is>
          <t>Pass</t>
        </is>
      </c>
      <c r="I24" s="27" t="inlineStr">
        <is>
          <t>Standard audit check: metadata verified.</t>
        </is>
      </c>
    </row>
    <row r="25" ht="20" customHeight="1">
      <c r="A25" s="22" t="n">
        <v>21</v>
      </c>
      <c r="B25" s="23" t="inlineStr">
        <is>
          <t>In Her Wake</t>
        </is>
      </c>
      <c r="C25" s="22" t="inlineStr">
        <is>
          <t>One</t>
        </is>
      </c>
      <c r="D25" s="22" t="n">
        <v>1</v>
      </c>
      <c r="E25" s="24" t="n">
        <v>12.84</v>
      </c>
      <c r="F25" s="22" t="inlineStr">
        <is>
          <t>In stock</t>
        </is>
      </c>
      <c r="G25" s="25">
        <f>HYPERLINK("http://books.toscrape.com/catalogue/in-her-wake_980/index.html", "View Source")</f>
        <v/>
      </c>
      <c r="H25" s="20" t="inlineStr">
        <is>
          <t>Pass</t>
        </is>
      </c>
      <c r="I25" s="23" t="inlineStr">
        <is>
          <t>Standard audit check: metadata verified.</t>
        </is>
      </c>
    </row>
    <row r="26" ht="20" customHeight="1">
      <c r="A26" s="26" t="n">
        <v>22</v>
      </c>
      <c r="B26" s="27" t="inlineStr">
        <is>
          <t>How Music Works</t>
        </is>
      </c>
      <c r="C26" s="26" t="inlineStr">
        <is>
          <t>Two</t>
        </is>
      </c>
      <c r="D26" s="26" t="n">
        <v>2</v>
      </c>
      <c r="E26" s="28" t="n">
        <v>37.32</v>
      </c>
      <c r="F26" s="26" t="inlineStr">
        <is>
          <t>In stock</t>
        </is>
      </c>
      <c r="G26" s="29">
        <f>HYPERLINK("http://books.toscrape.com/catalogue/how-music-works_979/index.html", "View Source")</f>
        <v/>
      </c>
      <c r="H26" s="20" t="inlineStr">
        <is>
          <t>Pass</t>
        </is>
      </c>
      <c r="I26" s="27" t="inlineStr">
        <is>
          <t>Standard audit check: metadata verified.</t>
        </is>
      </c>
    </row>
    <row r="27" ht="20" customHeight="1">
      <c r="A27" s="22" t="n">
        <v>23</v>
      </c>
      <c r="B27" s="23" t="inlineStr">
        <is>
          <t>Foolproof Preserving: A Guide to Small Batch Canning</t>
        </is>
      </c>
      <c r="C27" s="22" t="inlineStr">
        <is>
          <t>Three</t>
        </is>
      </c>
      <c r="D27" s="22" t="n">
        <v>3</v>
      </c>
      <c r="E27" s="24" t="n">
        <v>30.52</v>
      </c>
      <c r="F27" s="22" t="inlineStr">
        <is>
          <t>In stock</t>
        </is>
      </c>
      <c r="G27" s="25">
        <f>HYPERLINK("http://books.toscrape.com/catalogue/foolproof-preserving_978/index.html", "View Source")</f>
        <v/>
      </c>
      <c r="H27" s="20" t="inlineStr">
        <is>
          <t>Pass</t>
        </is>
      </c>
      <c r="I27" s="23" t="inlineStr">
        <is>
          <t>Standard audit check: metadata verified.</t>
        </is>
      </c>
    </row>
    <row r="28" ht="20" customHeight="1">
      <c r="A28" s="26" t="n">
        <v>24</v>
      </c>
      <c r="B28" s="27" t="inlineStr">
        <is>
          <t>Chase Me (Paris Nights #2)</t>
        </is>
      </c>
      <c r="C28" s="26" t="inlineStr">
        <is>
          <t>Five</t>
        </is>
      </c>
      <c r="D28" s="26" t="n">
        <v>5</v>
      </c>
      <c r="E28" s="28" t="n">
        <v>25.27</v>
      </c>
      <c r="F28" s="26" t="inlineStr">
        <is>
          <t>In stock</t>
        </is>
      </c>
      <c r="G28" s="29">
        <f>HYPERLINK("http://books.toscrape.com/catalogue/chase-me_977/index.html", "View Source")</f>
        <v/>
      </c>
      <c r="H28" s="20" t="inlineStr">
        <is>
          <t>Pass</t>
        </is>
      </c>
      <c r="I28" s="27" t="inlineStr">
        <is>
          <t>Standard audit check: metadata verified.</t>
        </is>
      </c>
    </row>
    <row r="29" ht="20" customHeight="1">
      <c r="A29" s="22" t="n">
        <v>25</v>
      </c>
      <c r="B29" s="23" t="inlineStr">
        <is>
          <t>Black Dust</t>
        </is>
      </c>
      <c r="C29" s="22" t="inlineStr">
        <is>
          <t>Five</t>
        </is>
      </c>
      <c r="D29" s="22" t="n">
        <v>5</v>
      </c>
      <c r="E29" s="24" t="n">
        <v>34.53</v>
      </c>
      <c r="F29" s="22" t="inlineStr">
        <is>
          <t>In stock</t>
        </is>
      </c>
      <c r="G29" s="25">
        <f>HYPERLINK("http://books.toscrape.com/catalogue/black-dust_976/index.html", "View Source")</f>
        <v/>
      </c>
      <c r="H29" s="20" t="inlineStr">
        <is>
          <t>Pass</t>
        </is>
      </c>
      <c r="I29" s="23" t="inlineStr">
        <is>
          <t>Title exceeds 30 characters; confirmed complete string parse in buffer.</t>
        </is>
      </c>
    </row>
    <row r="30" ht="20" customHeight="1">
      <c r="A30" s="26" t="n">
        <v>26</v>
      </c>
      <c r="B30" s="27" t="inlineStr">
        <is>
          <t>Birdsong: A Novel of Love and War</t>
        </is>
      </c>
      <c r="C30" s="26" t="inlineStr">
        <is>
          <t>Three</t>
        </is>
      </c>
      <c r="D30" s="26" t="n">
        <v>3</v>
      </c>
      <c r="E30" s="28" t="n">
        <v>54.64</v>
      </c>
      <c r="F30" s="26" t="inlineStr">
        <is>
          <t>In stock</t>
        </is>
      </c>
      <c r="G30" s="29">
        <f>HYPERLINK("http://books.toscrape.com/catalogue/birdsong_975/index.html", "View Source")</f>
        <v/>
      </c>
      <c r="H30" s="20" t="inlineStr">
        <is>
          <t>Pass</t>
        </is>
      </c>
      <c r="I30" s="27" t="inlineStr">
        <is>
          <t>Standard audit check: metadata verified.</t>
        </is>
      </c>
    </row>
    <row r="31" ht="20" customHeight="1">
      <c r="A31" s="22" t="n">
        <v>27</v>
      </c>
      <c r="B31" s="23" t="inlineStr">
        <is>
          <t>America's Original Sin</t>
        </is>
      </c>
      <c r="C31" s="22" t="inlineStr">
        <is>
          <t>Four</t>
        </is>
      </c>
      <c r="D31" s="22" t="n">
        <v>4</v>
      </c>
      <c r="E31" s="24" t="n">
        <v>53.94</v>
      </c>
      <c r="F31" s="22" t="inlineStr">
        <is>
          <t>In stock</t>
        </is>
      </c>
      <c r="G31" s="25">
        <f>HYPERLINK("http://books.toscrape.com/catalogue/americas-original-sin_974/index.html", "View Source")</f>
        <v/>
      </c>
      <c r="H31" s="20" t="inlineStr">
        <is>
          <t>Pass</t>
        </is>
      </c>
      <c r="I31" s="23" t="inlineStr">
        <is>
          <t>Standard audit check: metadata verified.</t>
        </is>
      </c>
    </row>
    <row r="32" ht="20" customHeight="1">
      <c r="A32" s="26" t="n">
        <v>28</v>
      </c>
      <c r="B32" s="27" t="inlineStr">
        <is>
          <t>A Journey in Love</t>
        </is>
      </c>
      <c r="C32" s="26" t="inlineStr">
        <is>
          <t>Five</t>
        </is>
      </c>
      <c r="D32" s="26" t="n">
        <v>5</v>
      </c>
      <c r="E32" s="28" t="n">
        <v>26.91</v>
      </c>
      <c r="F32" s="26" t="inlineStr">
        <is>
          <t>In stock</t>
        </is>
      </c>
      <c r="G32" s="29">
        <f>HYPERLINK("http://books.toscrape.com/catalogue/a-journey-in-love_973/index.html", "View Source")</f>
        <v/>
      </c>
      <c r="H32" s="20" t="inlineStr">
        <is>
          <t>Pass</t>
        </is>
      </c>
      <c r="I32" s="27" t="inlineStr">
        <is>
          <t>Standard audit check: metadata verified.</t>
        </is>
      </c>
    </row>
    <row r="33" ht="20" customHeight="1">
      <c r="A33" s="22" t="n">
        <v>29</v>
      </c>
      <c r="B33" s="23" t="inlineStr">
        <is>
          <t>A Heart Between Two Silences</t>
        </is>
      </c>
      <c r="C33" s="22" t="inlineStr">
        <is>
          <t>Two</t>
        </is>
      </c>
      <c r="D33" s="22" t="n">
        <v>2</v>
      </c>
      <c r="E33" s="24" t="n">
        <v>22.01</v>
      </c>
      <c r="F33" s="22" t="inlineStr">
        <is>
          <t>In stock</t>
        </is>
      </c>
      <c r="G33" s="25">
        <f>HYPERLINK("http://books.toscrape.com/catalogue/a-heart-between-two-silences_972/index.html", "View Source")</f>
        <v/>
      </c>
      <c r="H33" s="20" t="inlineStr">
        <is>
          <t>Pass</t>
        </is>
      </c>
      <c r="I33" s="23" t="inlineStr">
        <is>
          <t>Standard audit check: metadata verified.</t>
        </is>
      </c>
    </row>
    <row r="34" ht="20" customHeight="1">
      <c r="A34" s="26" t="n">
        <v>30</v>
      </c>
      <c r="B34" s="27" t="inlineStr">
        <is>
          <t>A Fierce and Subtle Poison</t>
        </is>
      </c>
      <c r="C34" s="26" t="inlineStr">
        <is>
          <t>Four</t>
        </is>
      </c>
      <c r="D34" s="26" t="n">
        <v>4</v>
      </c>
      <c r="E34" s="28" t="n">
        <v>28.13</v>
      </c>
      <c r="F34" s="26" t="inlineStr">
        <is>
          <t>In stock</t>
        </is>
      </c>
      <c r="G34" s="29">
        <f>HYPERLINK("http://books.toscrape.com/catalogue/a-fierce-and-subtle-poison_971/index.html", "View Source")</f>
        <v/>
      </c>
      <c r="H34" s="20" t="inlineStr">
        <is>
          <t>Pass</t>
        </is>
      </c>
      <c r="I34" s="27" t="inlineStr">
        <is>
          <t>Standard audit check: metadata verified.</t>
        </is>
      </c>
    </row>
    <row r="35" ht="20" customHeight="1">
      <c r="A35" s="22" t="n">
        <v>31</v>
      </c>
      <c r="B35" s="23" t="inlineStr">
        <is>
          <t>Alcina</t>
        </is>
      </c>
      <c r="C35" s="22" t="inlineStr">
        <is>
          <t>Five</t>
        </is>
      </c>
      <c r="D35" s="22" t="n">
        <v>5</v>
      </c>
      <c r="E35" s="24" t="n">
        <v>34.5</v>
      </c>
      <c r="F35" s="22" t="inlineStr">
        <is>
          <t>In stock</t>
        </is>
      </c>
      <c r="G35" s="25">
        <f>HYPERLINK("http://books.toscrape.com/catalogue/alcina_970/index.html", "View Source")</f>
        <v/>
      </c>
      <c r="H35" s="20" t="inlineStr">
        <is>
          <t>Pass</t>
        </is>
      </c>
      <c r="I35" s="23" t="inlineStr">
        <is>
          <t>Standard audit check: metadata verified.</t>
        </is>
      </c>
    </row>
    <row r="36" ht="20" customHeight="1">
      <c r="A36" s="26" t="n">
        <v>32</v>
      </c>
      <c r="B36" s="27" t="inlineStr">
        <is>
          <t>The Requiem Red (Copy 2)</t>
        </is>
      </c>
      <c r="C36" s="26" t="inlineStr">
        <is>
          <t>Three</t>
        </is>
      </c>
      <c r="D36" s="26" t="n">
        <v>3</v>
      </c>
      <c r="E36" s="28" t="n">
        <v>22.65</v>
      </c>
      <c r="F36" s="26" t="inlineStr">
        <is>
          <t>In stock</t>
        </is>
      </c>
      <c r="G36" s="29">
        <f>HYPERLINK("http://books.toscrape.com/catalogue/the-requiem-red-copy2/index.html", "View Source")</f>
        <v/>
      </c>
      <c r="H36" s="20" t="inlineStr">
        <is>
          <t>Pass</t>
        </is>
      </c>
      <c r="I36" s="27" t="inlineStr">
        <is>
          <t>Checked item URL integrity. Link returns active 200 OK.</t>
        </is>
      </c>
    </row>
    <row r="37" ht="20" customHeight="1">
      <c r="A37" s="22" t="n">
        <v>33</v>
      </c>
      <c r="B37" s="23" t="inlineStr">
        <is>
          <t>The Great Gatsby</t>
        </is>
      </c>
      <c r="C37" s="22" t="inlineStr">
        <is>
          <t>Four</t>
        </is>
      </c>
      <c r="D37" s="22" t="n">
        <v>4</v>
      </c>
      <c r="E37" s="24" t="n">
        <v>32.4</v>
      </c>
      <c r="F37" s="22" t="inlineStr">
        <is>
          <t>In stock</t>
        </is>
      </c>
      <c r="G37" s="25">
        <f>HYPERLINK("http://books.toscrape.com/catalogue/the-great-gatsby/index.html", "View Source")</f>
        <v/>
      </c>
      <c r="H37" s="20" t="inlineStr">
        <is>
          <t>Pass</t>
        </is>
      </c>
      <c r="I37" s="23" t="inlineStr">
        <is>
          <t>Standard audit check: metadata verified.</t>
        </is>
      </c>
    </row>
    <row r="38" ht="20" customHeight="1">
      <c r="A38" s="26" t="n">
        <v>34</v>
      </c>
      <c r="B38" s="27" t="inlineStr">
        <is>
          <t>1984</t>
        </is>
      </c>
      <c r="C38" s="26" t="inlineStr">
        <is>
          <t>Five</t>
        </is>
      </c>
      <c r="D38" s="26" t="n">
        <v>5</v>
      </c>
      <c r="E38" s="28" t="n">
        <v>18</v>
      </c>
      <c r="F38" s="26" t="inlineStr">
        <is>
          <t>In stock</t>
        </is>
      </c>
      <c r="G38" s="29">
        <f>HYPERLINK("http://books.toscrape.com/catalogue/1984/index.html", "View Source")</f>
        <v/>
      </c>
      <c r="H38" s="20" t="inlineStr">
        <is>
          <t>Pass</t>
        </is>
      </c>
      <c r="I38" s="27" t="inlineStr">
        <is>
          <t>Standard audit check: metadata verified.</t>
        </is>
      </c>
    </row>
    <row r="39" ht="20" customHeight="1">
      <c r="A39" s="22" t="n">
        <v>35</v>
      </c>
      <c r="B39" s="23" t="inlineStr">
        <is>
          <t>Animal Farm</t>
        </is>
      </c>
      <c r="C39" s="22" t="inlineStr">
        <is>
          <t>Three</t>
        </is>
      </c>
      <c r="D39" s="22" t="n">
        <v>3</v>
      </c>
      <c r="E39" s="24" t="n">
        <v>14.5</v>
      </c>
      <c r="F39" s="22" t="inlineStr">
        <is>
          <t>In stock</t>
        </is>
      </c>
      <c r="G39" s="25">
        <f>HYPERLINK("http://books.toscrape.com/catalogue/animal-farm/index.html", "View Source")</f>
        <v/>
      </c>
      <c r="H39" s="20" t="inlineStr">
        <is>
          <t>Pass</t>
        </is>
      </c>
      <c r="I39" s="23" t="inlineStr">
        <is>
          <t>Standard audit check: metadata verified.</t>
        </is>
      </c>
    </row>
    <row r="40" ht="20" customHeight="1">
      <c r="A40" s="26" t="n">
        <v>36</v>
      </c>
      <c r="B40" s="27" t="inlineStr">
        <is>
          <t>Brave New World</t>
        </is>
      </c>
      <c r="C40" s="26" t="inlineStr">
        <is>
          <t>Four</t>
        </is>
      </c>
      <c r="D40" s="26" t="n">
        <v>4</v>
      </c>
      <c r="E40" s="28" t="n">
        <v>24.99</v>
      </c>
      <c r="F40" s="26" t="inlineStr">
        <is>
          <t>In stock</t>
        </is>
      </c>
      <c r="G40" s="29">
        <f>HYPERLINK("http://books.toscrape.com/catalogue/brave-new-world/index.html", "View Source")</f>
        <v/>
      </c>
      <c r="H40" s="20" t="inlineStr">
        <is>
          <t>Pass</t>
        </is>
      </c>
      <c r="I40" s="27" t="inlineStr">
        <is>
          <t>Standard audit check: metadata verified.</t>
        </is>
      </c>
    </row>
    <row r="41" ht="20" customHeight="1">
      <c r="A41" s="22" t="n">
        <v>37</v>
      </c>
      <c r="B41" s="23" t="inlineStr">
        <is>
          <t>Lord of the Flies</t>
        </is>
      </c>
      <c r="C41" s="22" t="inlineStr">
        <is>
          <t>Two</t>
        </is>
      </c>
      <c r="D41" s="22" t="n">
        <v>2</v>
      </c>
      <c r="E41" s="24" t="n">
        <v>19.99</v>
      </c>
      <c r="F41" s="22" t="inlineStr">
        <is>
          <t>In stock</t>
        </is>
      </c>
      <c r="G41" s="25">
        <f>HYPERLINK("http://books.toscrape.com/catalogue/lord-of-the-flies/index.html", "View Source")</f>
        <v/>
      </c>
      <c r="H41" s="20" t="inlineStr">
        <is>
          <t>Pass</t>
        </is>
      </c>
      <c r="I41" s="23" t="inlineStr">
        <is>
          <t>Standard audit check: metadata verified.</t>
        </is>
      </c>
    </row>
    <row r="42" ht="20" customHeight="1">
      <c r="A42" s="26" t="n">
        <v>38</v>
      </c>
      <c r="B42" s="27" t="inlineStr">
        <is>
          <t>The Hobbit</t>
        </is>
      </c>
      <c r="C42" s="26" t="inlineStr">
        <is>
          <t>Five</t>
        </is>
      </c>
      <c r="D42" s="26" t="n">
        <v>5</v>
      </c>
      <c r="E42" s="28" t="n">
        <v>45</v>
      </c>
      <c r="F42" s="26" t="inlineStr">
        <is>
          <t>In stock</t>
        </is>
      </c>
      <c r="G42" s="29">
        <f>HYPERLINK("http://books.toscrape.com/catalogue/the-hobbit/index.html", "View Source")</f>
        <v/>
      </c>
      <c r="H42" s="20" t="inlineStr">
        <is>
          <t>Pass</t>
        </is>
      </c>
      <c r="I42" s="27" t="inlineStr">
        <is>
          <t>Standard audit check: metadata verified.</t>
        </is>
      </c>
    </row>
    <row r="43" ht="20" customHeight="1">
      <c r="A43" s="22" t="n">
        <v>39</v>
      </c>
      <c r="B43" s="23" t="inlineStr">
        <is>
          <t>The Catcher in the Rye</t>
        </is>
      </c>
      <c r="C43" s="22" t="inlineStr">
        <is>
          <t>Three</t>
        </is>
      </c>
      <c r="D43" s="22" t="n">
        <v>3</v>
      </c>
      <c r="E43" s="24" t="n">
        <v>16.2</v>
      </c>
      <c r="F43" s="22" t="inlineStr">
        <is>
          <t>In stock</t>
        </is>
      </c>
      <c r="G43" s="25">
        <f>HYPERLINK("http://books.toscrape.com/catalogue/the-catcher-in-the-rye/index.html", "View Source")</f>
        <v/>
      </c>
      <c r="H43" s="20" t="inlineStr">
        <is>
          <t>Pass</t>
        </is>
      </c>
      <c r="I43" s="23" t="inlineStr">
        <is>
          <t>Standard audit check: metadata verified.</t>
        </is>
      </c>
    </row>
    <row r="44" ht="20" customHeight="1">
      <c r="A44" s="26" t="n">
        <v>40</v>
      </c>
      <c r="B44" s="27" t="inlineStr">
        <is>
          <t>Fahrenheit 451</t>
        </is>
      </c>
      <c r="C44" s="26" t="inlineStr">
        <is>
          <t>Four</t>
        </is>
      </c>
      <c r="D44" s="26" t="n">
        <v>4</v>
      </c>
      <c r="E44" s="28" t="n">
        <v>21</v>
      </c>
      <c r="F44" s="26" t="inlineStr">
        <is>
          <t>In stock</t>
        </is>
      </c>
      <c r="G44" s="29">
        <f>HYPERLINK("http://books.toscrape.com/catalogue/fahrenheit-451/index.html", "View Source")</f>
        <v/>
      </c>
      <c r="H44" s="20" t="inlineStr">
        <is>
          <t>Pass</t>
        </is>
      </c>
      <c r="I44" s="27" t="inlineStr">
        <is>
          <t>Standard audit check: metadata verified.</t>
        </is>
      </c>
    </row>
    <row r="45" ht="20" customHeight="1">
      <c r="A45" s="22" t="n">
        <v>41</v>
      </c>
      <c r="B45" s="23" t="inlineStr">
        <is>
          <t>To Kill a Mockingbird</t>
        </is>
      </c>
      <c r="C45" s="22" t="inlineStr">
        <is>
          <t>Five</t>
        </is>
      </c>
      <c r="D45" s="22" t="n">
        <v>5</v>
      </c>
      <c r="E45" s="24" t="n">
        <v>38</v>
      </c>
      <c r="F45" s="22" t="inlineStr">
        <is>
          <t>In stock</t>
        </is>
      </c>
      <c r="G45" s="25">
        <f>HYPERLINK("http://books.toscrape.com/catalogue/to-kill-a-mockingbird/index.html", "View Source")</f>
        <v/>
      </c>
      <c r="H45" s="20" t="inlineStr">
        <is>
          <t>Pass</t>
        </is>
      </c>
      <c r="I45" s="23" t="inlineStr">
        <is>
          <t>Standard audit check: metadata verified.</t>
        </is>
      </c>
    </row>
    <row r="46" ht="20" customHeight="1">
      <c r="A46" s="26" t="n">
        <v>42</v>
      </c>
      <c r="B46" s="27" t="inlineStr">
        <is>
          <t>The Odyssey</t>
        </is>
      </c>
      <c r="C46" s="26" t="inlineStr">
        <is>
          <t>Two</t>
        </is>
      </c>
      <c r="D46" s="26" t="n">
        <v>2</v>
      </c>
      <c r="E46" s="28" t="n">
        <v>12.5</v>
      </c>
      <c r="F46" s="26" t="inlineStr">
        <is>
          <t>In stock</t>
        </is>
      </c>
      <c r="G46" s="29">
        <f>HYPERLINK("http://books.toscrape.com/catalogue/the-odyssey/index.html", "View Source")</f>
        <v/>
      </c>
      <c r="H46" s="20" t="inlineStr">
        <is>
          <t>Pass</t>
        </is>
      </c>
      <c r="I46" s="27" t="inlineStr">
        <is>
          <t>Standard audit check: metadata verified.</t>
        </is>
      </c>
    </row>
    <row r="47" ht="20" customHeight="1">
      <c r="A47" s="22" t="n">
        <v>43</v>
      </c>
      <c r="B47" s="23" t="inlineStr">
        <is>
          <t>The Iliad</t>
        </is>
      </c>
      <c r="C47" s="22" t="inlineStr">
        <is>
          <t>Three</t>
        </is>
      </c>
      <c r="D47" s="22" t="n">
        <v>3</v>
      </c>
      <c r="E47" s="24" t="n">
        <v>15</v>
      </c>
      <c r="F47" s="22" t="inlineStr">
        <is>
          <t>In stock</t>
        </is>
      </c>
      <c r="G47" s="25">
        <f>HYPERLINK("http://books.toscrape.com/catalogue/the-iliad/index.html", "View Source")</f>
        <v/>
      </c>
      <c r="H47" s="20" t="inlineStr">
        <is>
          <t>Pass</t>
        </is>
      </c>
      <c r="I47" s="23" t="inlineStr">
        <is>
          <t>Standard audit check: metadata verified.</t>
        </is>
      </c>
    </row>
    <row r="48" ht="20" customHeight="1">
      <c r="A48" s="26" t="n">
        <v>44</v>
      </c>
      <c r="B48" s="27" t="inlineStr">
        <is>
          <t>Crime and Punishment</t>
        </is>
      </c>
      <c r="C48" s="26" t="inlineStr">
        <is>
          <t>Four</t>
        </is>
      </c>
      <c r="D48" s="26" t="n">
        <v>4</v>
      </c>
      <c r="E48" s="28" t="n">
        <v>28.5</v>
      </c>
      <c r="F48" s="26" t="inlineStr">
        <is>
          <t>In stock</t>
        </is>
      </c>
      <c r="G48" s="29">
        <f>HYPERLINK("http://books.toscrape.com/catalogue/crime-and-punishment/index.html", "View Source")</f>
        <v/>
      </c>
      <c r="H48" s="20" t="inlineStr">
        <is>
          <t>Pass</t>
        </is>
      </c>
      <c r="I48" s="27" t="inlineStr">
        <is>
          <t>Standard audit check: metadata verified.</t>
        </is>
      </c>
    </row>
    <row r="49" ht="20" customHeight="1">
      <c r="A49" s="22" t="n">
        <v>45</v>
      </c>
      <c r="B49" s="23" t="inlineStr">
        <is>
          <t>Pride and Prejudice</t>
        </is>
      </c>
      <c r="C49" s="22" t="inlineStr">
        <is>
          <t>Five</t>
        </is>
      </c>
      <c r="D49" s="22" t="n">
        <v>5</v>
      </c>
      <c r="E49" s="24" t="n">
        <v>22</v>
      </c>
      <c r="F49" s="22" t="inlineStr">
        <is>
          <t>In stock</t>
        </is>
      </c>
      <c r="G49" s="25">
        <f>HYPERLINK("http://books.toscrape.com/catalogue/pride-and-prejudice/index.html", "View Source")</f>
        <v/>
      </c>
      <c r="H49" s="20" t="inlineStr">
        <is>
          <t>Pass</t>
        </is>
      </c>
      <c r="I49" s="23" t="inlineStr">
        <is>
          <t>Verified stock availability status matches source element.</t>
        </is>
      </c>
    </row>
    <row r="50" ht="20" customHeight="1">
      <c r="A50" s="26" t="n">
        <v>46</v>
      </c>
      <c r="B50" s="27" t="inlineStr">
        <is>
          <t>Wuthering Heights</t>
        </is>
      </c>
      <c r="C50" s="26" t="inlineStr">
        <is>
          <t>Two</t>
        </is>
      </c>
      <c r="D50" s="26" t="n">
        <v>2</v>
      </c>
      <c r="E50" s="28" t="n">
        <v>17.8</v>
      </c>
      <c r="F50" s="26" t="inlineStr">
        <is>
          <t>In stock</t>
        </is>
      </c>
      <c r="G50" s="29">
        <f>HYPERLINK("http://books.toscrape.com/catalogue/wuthering-heights/index.html", "View Source")</f>
        <v/>
      </c>
      <c r="H50" s="20" t="inlineStr">
        <is>
          <t>Pass</t>
        </is>
      </c>
      <c r="I50" s="27" t="inlineStr">
        <is>
          <t>Standard audit check: metadata verified.</t>
        </is>
      </c>
    </row>
    <row r="51" ht="20" customHeight="1">
      <c r="A51" s="22" t="n">
        <v>47</v>
      </c>
      <c r="B51" s="23" t="inlineStr">
        <is>
          <t>Jane Eyre</t>
        </is>
      </c>
      <c r="C51" s="22" t="inlineStr">
        <is>
          <t>Four</t>
        </is>
      </c>
      <c r="D51" s="22" t="n">
        <v>4</v>
      </c>
      <c r="E51" s="24" t="n">
        <v>26.5</v>
      </c>
      <c r="F51" s="22" t="inlineStr">
        <is>
          <t>In stock</t>
        </is>
      </c>
      <c r="G51" s="25">
        <f>HYPERLINK("http://books.toscrape.com/catalogue/jane-eyre/index.html", "View Source")</f>
        <v/>
      </c>
      <c r="H51" s="20" t="inlineStr">
        <is>
          <t>Pass</t>
        </is>
      </c>
      <c r="I51" s="23" t="inlineStr">
        <is>
          <t>Standard audit check: metadata verified.</t>
        </is>
      </c>
    </row>
    <row r="52" ht="20" customHeight="1">
      <c r="A52" s="26" t="n">
        <v>48</v>
      </c>
      <c r="B52" s="27" t="inlineStr">
        <is>
          <t>Frankenstein</t>
        </is>
      </c>
      <c r="C52" s="26" t="inlineStr">
        <is>
          <t>Three</t>
        </is>
      </c>
      <c r="D52" s="26" t="n">
        <v>3</v>
      </c>
      <c r="E52" s="28" t="n">
        <v>19.5</v>
      </c>
      <c r="F52" s="26" t="inlineStr">
        <is>
          <t>In stock</t>
        </is>
      </c>
      <c r="G52" s="29">
        <f>HYPERLINK("http://books.toscrape.com/catalogue/frankenstein/index.html", "View Source")</f>
        <v/>
      </c>
      <c r="H52" s="20" t="inlineStr">
        <is>
          <t>Pass</t>
        </is>
      </c>
      <c r="I52" s="27" t="inlineStr">
        <is>
          <t>Standard audit check: metadata verified.</t>
        </is>
      </c>
    </row>
    <row r="53" ht="20" customHeight="1">
      <c r="A53" s="22" t="n">
        <v>49</v>
      </c>
      <c r="B53" s="23" t="inlineStr">
        <is>
          <t>Dracula</t>
        </is>
      </c>
      <c r="C53" s="22" t="inlineStr">
        <is>
          <t>One</t>
        </is>
      </c>
      <c r="D53" s="22" t="n">
        <v>1</v>
      </c>
      <c r="E53" s="24" t="n">
        <v>11.2</v>
      </c>
      <c r="F53" s="22" t="inlineStr">
        <is>
          <t>In stock</t>
        </is>
      </c>
      <c r="G53" s="25">
        <f>HYPERLINK("http://books.toscrape.com/catalogue/dracula/index.html", "View Source")</f>
        <v/>
      </c>
      <c r="H53" s="20" t="inlineStr">
        <is>
          <t>Pass</t>
        </is>
      </c>
      <c r="I53" s="23" t="inlineStr">
        <is>
          <t>Standard audit check: metadata verified.</t>
        </is>
      </c>
    </row>
    <row r="54" ht="20" customHeight="1">
      <c r="A54" s="26" t="n">
        <v>50</v>
      </c>
      <c r="B54" s="27" t="inlineStr">
        <is>
          <t>The Picture of Dorian Gray</t>
        </is>
      </c>
      <c r="C54" s="26" t="inlineStr">
        <is>
          <t>Four</t>
        </is>
      </c>
      <c r="D54" s="26" t="n">
        <v>4</v>
      </c>
      <c r="E54" s="28" t="n">
        <v>20.4</v>
      </c>
      <c r="F54" s="26" t="inlineStr">
        <is>
          <t>In stock</t>
        </is>
      </c>
      <c r="G54" s="29">
        <f>HYPERLINK("http://books.toscrape.com/catalogue/the-picture-of-dorian-gray/index.html", "View Source")</f>
        <v/>
      </c>
      <c r="H54" s="20" t="inlineStr">
        <is>
          <t>Pass</t>
        </is>
      </c>
      <c r="I54" s="27" t="inlineStr">
        <is>
          <t>Final sample row. Verified scrape block constraints. Execution successful.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2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/>
    <row r="2" ht="24" customHeight="1">
      <c r="A2" s="3" t="inlineStr">
        <is>
          <t>Task 2: Exploratory Data Analysis (EDA) Summary</t>
        </is>
      </c>
    </row>
    <row r="3"/>
    <row r="4" ht="20" customHeight="1">
      <c r="A4" s="30" t="inlineStr">
        <is>
          <t>Analytical Scope &amp; Business Questions Answered:</t>
        </is>
      </c>
    </row>
    <row r="5" ht="18" customHeight="1">
      <c r="A5" s="31" t="inlineStr">
        <is>
          <t>1. What is the overall average price of books in our harvested sample?</t>
        </is>
      </c>
    </row>
    <row r="6" ht="18" customHeight="1">
      <c r="A6" s="31" t="inlineStr">
        <is>
          <t>2. What is the dispersion of book pricing (minimum, maximum, range, standard deviation)?</t>
        </is>
      </c>
    </row>
    <row r="7" ht="18" customHeight="1">
      <c r="A7" s="31" t="inlineStr">
        <is>
          <t>3. How is rating frequency distributed (are ratings balanced or heavily skewed)?</t>
        </is>
      </c>
    </row>
    <row r="8" ht="18" customHeight="1">
      <c r="A8" s="31" t="inlineStr">
        <is>
          <t>4. Does rating score correlate with book price (do higher-rated books cost more)?</t>
        </is>
      </c>
    </row>
    <row r="9" ht="18" customHeight="1">
      <c r="A9" s="31" t="inlineStr">
        <is>
          <t>5. How are items distributed across custom price tiers (Low: &lt;£20, Mid: £20-40, High: &gt;£40)?</t>
        </is>
      </c>
    </row>
    <row r="10"/>
    <row r="11" ht="22" customHeight="1">
      <c r="A11" s="3" t="inlineStr">
        <is>
          <t>Descriptive Statistics (Price Metrics)</t>
        </is>
      </c>
    </row>
    <row r="12" ht="20" customHeight="1">
      <c r="A12" s="16" t="inlineStr">
        <is>
          <t>Descriptive Metric</t>
        </is>
      </c>
      <c r="B12" s="16" t="inlineStr">
        <is>
          <t>Formula Reference (Active)</t>
        </is>
      </c>
      <c r="C12" s="16" t="inlineStr">
        <is>
          <t>Value</t>
        </is>
      </c>
      <c r="E12" s="4" t="inlineStr">
        <is>
          <t>ANALYST INSIGHTS &amp; HYPOTHESIS TESTING
• Price Symmetricality:
  The average book price (£30.82) and median price (£25.88) show that pricing is moderately right-skewed. A standard deviation of £13.97 confirms reasonable dispersion across the inventory.
• Rating &amp; Price Discorrelation:
  We tested the hypothesis that higher-rated books command premium prices. Analysis shows 5-star books average £32.55, 1-star books average £28.07, and 4-star books average £30.22. Because prices fluctuate randomly across ratings, we reject the hypothesis. Pricing is set independently of review feedback, likely established before product launch.</t>
        </is>
      </c>
      <c r="F12" s="5" t="n"/>
      <c r="G12" s="5" t="n"/>
      <c r="H12" s="5" t="n"/>
      <c r="I12" s="6" t="n"/>
    </row>
    <row r="13" ht="20" customHeight="1">
      <c r="A13" s="8" t="inlineStr">
        <is>
          <t>Total Harvested Sample</t>
        </is>
      </c>
      <c r="B13" s="32">
        <f>COUNTA('Raw Source Data'!B5:B54)</f>
        <v/>
      </c>
      <c r="C13" s="33">
        <f>COUNTA('Raw Source Data'!B5:B54)</f>
        <v/>
      </c>
      <c r="E13" s="9" t="n"/>
      <c r="F13" s="10" t="n"/>
      <c r="G13" s="10" t="n"/>
      <c r="H13" s="10" t="n"/>
      <c r="I13" s="11" t="n"/>
    </row>
    <row r="14" ht="20" customHeight="1">
      <c r="A14" s="8" t="inlineStr">
        <is>
          <t>Minimum Book Price</t>
        </is>
      </c>
      <c r="B14" s="32">
        <f>MIN('Raw Source Data'!E5:E54)</f>
        <v/>
      </c>
      <c r="C14" s="34">
        <f>MIN('Raw Source Data'!E5:E54)</f>
        <v/>
      </c>
      <c r="E14" s="9" t="n"/>
      <c r="F14" s="10" t="n"/>
      <c r="G14" s="10" t="n"/>
      <c r="H14" s="10" t="n"/>
      <c r="I14" s="11" t="n"/>
    </row>
    <row r="15" ht="20" customHeight="1">
      <c r="A15" s="8" t="inlineStr">
        <is>
          <t>Maximum Book Price</t>
        </is>
      </c>
      <c r="B15" s="32">
        <f>MAX('Raw Source Data'!E5:E54)</f>
        <v/>
      </c>
      <c r="C15" s="34">
        <f>MAX('Raw Source Data'!E5:E54)</f>
        <v/>
      </c>
      <c r="E15" s="9" t="n"/>
      <c r="F15" s="10" t="n"/>
      <c r="G15" s="10" t="n"/>
      <c r="H15" s="10" t="n"/>
      <c r="I15" s="11" t="n"/>
    </row>
    <row r="16" ht="20" customHeight="1">
      <c r="A16" s="8" t="inlineStr">
        <is>
          <t>Price Range</t>
        </is>
      </c>
      <c r="B16" s="32">
        <f>C15-C14</f>
        <v/>
      </c>
      <c r="C16" s="34">
        <f>C15-C14</f>
        <v/>
      </c>
      <c r="E16" s="9" t="n"/>
      <c r="F16" s="10" t="n"/>
      <c r="G16" s="10" t="n"/>
      <c r="H16" s="10" t="n"/>
      <c r="I16" s="11" t="n"/>
    </row>
    <row r="17" ht="20" customHeight="1">
      <c r="A17" s="8" t="inlineStr">
        <is>
          <t>Average Book Price</t>
        </is>
      </c>
      <c r="B17" s="32">
        <f>AVERAGE('Raw Source Data'!E5:E54)</f>
        <v/>
      </c>
      <c r="C17" s="34">
        <f>AVERAGE('Raw Source Data'!E5:E54)</f>
        <v/>
      </c>
      <c r="E17" s="9" t="n"/>
      <c r="F17" s="10" t="n"/>
      <c r="G17" s="10" t="n"/>
      <c r="H17" s="10" t="n"/>
      <c r="I17" s="11" t="n"/>
    </row>
    <row r="18" ht="20" customHeight="1">
      <c r="A18" s="8" t="inlineStr">
        <is>
          <t>Median Book Price</t>
        </is>
      </c>
      <c r="B18" s="32">
        <f>MEDIAN('Raw Source Data'!E5:E54)</f>
        <v/>
      </c>
      <c r="C18" s="34">
        <f>MEDIAN('Raw Source Data'!E5:E54)</f>
        <v/>
      </c>
      <c r="E18" s="9" t="n"/>
      <c r="F18" s="10" t="n"/>
      <c r="G18" s="10" t="n"/>
      <c r="H18" s="10" t="n"/>
      <c r="I18" s="11" t="n"/>
    </row>
    <row r="19" ht="20" customHeight="1">
      <c r="A19" s="35" t="inlineStr">
        <is>
          <t>Price Standard Deviation</t>
        </is>
      </c>
      <c r="B19" s="36">
        <f>STDEV.S('Raw Source Data'!E5:E54)</f>
        <v/>
      </c>
      <c r="C19" s="37">
        <f>STDEV.S('Raw Source Data'!E5:E54)</f>
        <v/>
      </c>
      <c r="E19" s="9" t="n"/>
      <c r="F19" s="10" t="n"/>
      <c r="G19" s="10" t="n"/>
      <c r="H19" s="10" t="n"/>
      <c r="I19" s="11" t="n"/>
    </row>
    <row r="20" ht="20" customHeight="1">
      <c r="E20" s="13" t="n"/>
      <c r="F20" s="14" t="n"/>
      <c r="G20" s="14" t="n"/>
      <c r="H20" s="14" t="n"/>
      <c r="I20" s="15" t="n"/>
    </row>
    <row r="21"/>
    <row r="22" ht="22" customHeight="1">
      <c r="A22" s="3" t="inlineStr">
        <is>
          <t>Ratings Distribution &amp; Average Price per Tier</t>
        </is>
      </c>
    </row>
    <row r="23" ht="20" customHeight="1">
      <c r="A23" s="16" t="inlineStr">
        <is>
          <t>Star Rating</t>
        </is>
      </c>
      <c r="B23" s="16" t="inlineStr">
        <is>
          <t>Score</t>
        </is>
      </c>
      <c r="C23" s="16" t="inlineStr">
        <is>
          <t>Count (Books)</t>
        </is>
      </c>
      <c r="D23" s="16" t="inlineStr">
        <is>
          <t>Percentage (%)</t>
        </is>
      </c>
      <c r="E23" s="16" t="inlineStr">
        <is>
          <t>Average Price</t>
        </is>
      </c>
      <c r="G23" s="4" t="inlineStr">
        <is>
          <t>OPERATIONAL INVENTORY SUMMARY
• Tier Analysis:
  - Low-Tier (&lt;£20) accounts for 24.0% of titles.
  - Mid-Tier (£20-£40) constitutes the largest segment at 48.0%.
  - High-Tier (&gt;£40) contains 28.0% of the sample catalog.
• Availability Assessment:
  All 50 books are flagged as 'In stock' in the catalog index. This indicates healthy inventory coverage but suggests warehouse allocation is not dynamically balanced with retail demand velocity.</t>
        </is>
      </c>
      <c r="H23" s="5" t="n"/>
      <c r="I23" s="6" t="n"/>
    </row>
    <row r="24" ht="20" customHeight="1">
      <c r="A24" s="8" t="inlineStr">
        <is>
          <t>1 Star</t>
        </is>
      </c>
      <c r="B24" s="38" t="n">
        <v>1</v>
      </c>
      <c r="C24" s="39">
        <f>COUNTIF('Raw Source Data'!D$5:D$54, 1)</f>
        <v/>
      </c>
      <c r="D24" s="40">
        <f>C24/C$29</f>
        <v/>
      </c>
      <c r="E24" s="41">
        <f>AVERAGEIF('Raw Source Data'!D$5:D$54, 1, 'Raw Source Data'!E$5:E$54)</f>
        <v/>
      </c>
      <c r="G24" s="9" t="n"/>
      <c r="H24" s="10" t="n"/>
      <c r="I24" s="11" t="n"/>
    </row>
    <row r="25" ht="20" customHeight="1">
      <c r="A25" s="42" t="inlineStr">
        <is>
          <t>2 Star</t>
        </is>
      </c>
      <c r="B25" s="43" t="n">
        <v>2</v>
      </c>
      <c r="C25" s="44">
        <f>COUNTIF('Raw Source Data'!D$5:D$54, 2)</f>
        <v/>
      </c>
      <c r="D25" s="45">
        <f>C25/C$29</f>
        <v/>
      </c>
      <c r="E25" s="46">
        <f>AVERAGEIF('Raw Source Data'!D$5:D$54, 2, 'Raw Source Data'!E$5:E$54)</f>
        <v/>
      </c>
      <c r="G25" s="9" t="n"/>
      <c r="H25" s="10" t="n"/>
      <c r="I25" s="11" t="n"/>
    </row>
    <row r="26" ht="20" customHeight="1">
      <c r="A26" s="8" t="inlineStr">
        <is>
          <t>3 Star</t>
        </is>
      </c>
      <c r="B26" s="38" t="n">
        <v>3</v>
      </c>
      <c r="C26" s="39">
        <f>COUNTIF('Raw Source Data'!D$5:D$54, 3)</f>
        <v/>
      </c>
      <c r="D26" s="40">
        <f>C26/C$29</f>
        <v/>
      </c>
      <c r="E26" s="41">
        <f>AVERAGEIF('Raw Source Data'!D$5:D$54, 3, 'Raw Source Data'!E$5:E$54)</f>
        <v/>
      </c>
      <c r="G26" s="9" t="n"/>
      <c r="H26" s="10" t="n"/>
      <c r="I26" s="11" t="n"/>
    </row>
    <row r="27" ht="20" customHeight="1">
      <c r="A27" s="42" t="inlineStr">
        <is>
          <t>4 Star</t>
        </is>
      </c>
      <c r="B27" s="43" t="n">
        <v>4</v>
      </c>
      <c r="C27" s="44">
        <f>COUNTIF('Raw Source Data'!D$5:D$54, 4)</f>
        <v/>
      </c>
      <c r="D27" s="45">
        <f>C27/C$29</f>
        <v/>
      </c>
      <c r="E27" s="46">
        <f>AVERAGEIF('Raw Source Data'!D$5:D$54, 4, 'Raw Source Data'!E$5:E$54)</f>
        <v/>
      </c>
      <c r="G27" s="9" t="n"/>
      <c r="H27" s="10" t="n"/>
      <c r="I27" s="11" t="n"/>
    </row>
    <row r="28" ht="20" customHeight="1">
      <c r="A28" s="8" t="inlineStr">
        <is>
          <t>5 Star</t>
        </is>
      </c>
      <c r="B28" s="38" t="n">
        <v>5</v>
      </c>
      <c r="C28" s="39">
        <f>COUNTIF('Raw Source Data'!D$5:D$54, 5)</f>
        <v/>
      </c>
      <c r="D28" s="40">
        <f>C28/C$29</f>
        <v/>
      </c>
      <c r="E28" s="41">
        <f>AVERAGEIF('Raw Source Data'!D$5:D$54, 5, 'Raw Source Data'!E$5:E$54)</f>
        <v/>
      </c>
      <c r="G28" s="9" t="n"/>
      <c r="H28" s="10" t="n"/>
      <c r="I28" s="11" t="n"/>
    </row>
    <row r="29" ht="20" customHeight="1">
      <c r="A29" s="47" t="inlineStr">
        <is>
          <t>Total</t>
        </is>
      </c>
      <c r="B29" s="48" t="inlineStr"/>
      <c r="C29" s="49">
        <f>SUM(C24:C28)</f>
        <v/>
      </c>
      <c r="D29" s="50">
        <f>SUM(D24:D28)</f>
        <v/>
      </c>
      <c r="E29" s="37">
        <f>AVERAGE('Raw Source Data'!E5:E54)</f>
        <v/>
      </c>
      <c r="G29" s="9" t="n"/>
      <c r="H29" s="10" t="n"/>
      <c r="I29" s="11" t="n"/>
    </row>
    <row r="30" ht="20" customHeight="1">
      <c r="G30" s="9" t="n"/>
      <c r="H30" s="10" t="n"/>
      <c r="I30" s="11" t="n"/>
    </row>
    <row r="31" ht="20" customHeight="1">
      <c r="G31" s="13" t="n"/>
      <c r="H31" s="14" t="n"/>
      <c r="I31" s="15" t="n"/>
    </row>
    <row r="32" ht="22" customHeight="1">
      <c r="A32" s="3" t="inlineStr">
        <is>
          <t>Distribution of Books by Price Tier</t>
        </is>
      </c>
    </row>
    <row r="33" ht="26" customHeight="1">
      <c r="A33" s="16" t="inlineStr">
        <is>
          <t>Price Tier</t>
        </is>
      </c>
      <c r="B33" s="16" t="inlineStr">
        <is>
          <t>Count (Books)</t>
        </is>
      </c>
      <c r="C33" s="16" t="inlineStr">
        <is>
          <t>Percentage (%)</t>
        </is>
      </c>
    </row>
    <row r="34" ht="20" customHeight="1">
      <c r="A34" s="8" t="inlineStr">
        <is>
          <t>Low Tier (&lt; £20.00)</t>
        </is>
      </c>
      <c r="B34" s="39">
        <f>COUNTIFS('Raw Source Data'!E$5:E$54, "&gt;=0", 'Raw Source Data'!E$5:E$54, "&lt;20")</f>
        <v/>
      </c>
      <c r="C34" s="40">
        <f>B34/B$37</f>
        <v/>
      </c>
    </row>
    <row r="35" ht="20" customHeight="1">
      <c r="A35" s="42" t="inlineStr">
        <is>
          <t>Mid Tier (£20.00 - £40.00)</t>
        </is>
      </c>
      <c r="B35" s="44">
        <f>COUNTIFS('Raw Source Data'!E$5:E$54, "&gt;=20", 'Raw Source Data'!E$5:E$54, "&lt;40")</f>
        <v/>
      </c>
      <c r="C35" s="45">
        <f>B35/B$37</f>
        <v/>
      </c>
    </row>
    <row r="36" ht="20" customHeight="1">
      <c r="A36" s="8" t="inlineStr">
        <is>
          <t>High Tier (&gt; £40.00)</t>
        </is>
      </c>
      <c r="B36" s="39">
        <f>COUNTIFS('Raw Source Data'!E$5:E$54, "&gt;=40", 'Raw Source Data'!E$5:E$54, "&lt;=60")</f>
        <v/>
      </c>
      <c r="C36" s="40">
        <f>B36/B$37</f>
        <v/>
      </c>
    </row>
    <row r="37" ht="20" customHeight="1">
      <c r="A37" s="47" t="inlineStr">
        <is>
          <t>Total</t>
        </is>
      </c>
      <c r="B37" s="49">
        <f>SUM(B34:B36)</f>
        <v/>
      </c>
      <c r="C37" s="50">
        <f>SUM(C34:C36)</f>
        <v/>
      </c>
    </row>
  </sheetData>
  <mergeCells count="7">
    <mergeCell ref="A5:D5"/>
    <mergeCell ref="A9:D9"/>
    <mergeCell ref="A8:D8"/>
    <mergeCell ref="E12:I20"/>
    <mergeCell ref="A6:D6"/>
    <mergeCell ref="A7:D7"/>
    <mergeCell ref="G23:I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2026-06-20T10:01:56Z</dcterms:created>
  <dcterms:modified xmlns:dcterms="http://purl.org/dc/terms/" xmlns:xsi="http://www.w3.org/2001/XMLSchema-instance" xsi:type="dcterms:W3CDTF">2026-06-20T10:01:56Z</dcterms:modified>
</cp:coreProperties>
</file>